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5.xml" ContentType="application/vnd.openxmlformats-officedocument.drawing+xml"/>
  <Override PartName="/xl/charts/chart2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MPLM\6- parallelization\9 - potential\C_ mert inverse scattering\bicgstab001_clean\bicgstab001\results\test p2p _ level and rf avg 10 tests\"/>
    </mc:Choice>
  </mc:AlternateContent>
  <xr:revisionPtr revIDLastSave="0" documentId="13_ncr:1_{E6AD43C4-CE81-4885-BFBB-51CBF74B23D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non_redundnat" sheetId="1" r:id="rId1"/>
    <sheet name="X level" sheetId="2" r:id="rId2"/>
    <sheet name="RF 2" sheetId="3" r:id="rId3"/>
    <sheet name="X" sheetId="4" r:id="rId4"/>
    <sheet name="X transfer" sheetId="5" r:id="rId5"/>
    <sheet name="X computation" sheetId="6" r:id="rId6"/>
    <sheet name="final speedup" sheetId="7" r:id="rId7"/>
    <sheet name="final speedup normalized" sheetId="8" r:id="rId8"/>
  </sheets>
  <definedNames>
    <definedName name="_xlnm._FilterDatabase" localSheetId="6" hidden="1">'final speedup'!$A$1:$I$16</definedName>
    <definedName name="_xlnm._FilterDatabase" localSheetId="0" hidden="1">non_redundnat!$A$40:$S$55</definedName>
    <definedName name="_xlnm._FilterDatabase" localSheetId="2" hidden="1">'RF 2'!$A$2:$V$17</definedName>
    <definedName name="_xlnm._FilterDatabase" localSheetId="3" hidden="1">X!$A$37:$I$52</definedName>
    <definedName name="_xlnm._FilterDatabase" localSheetId="5" hidden="1">'X computation'!$A$1:$F$16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3" i="7" l="1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2" i="7"/>
  <c r="H3" i="6"/>
  <c r="H4" i="6"/>
  <c r="H5" i="6"/>
  <c r="H6" i="6"/>
  <c r="H7" i="6"/>
  <c r="H8" i="6"/>
  <c r="M8" i="7" s="1"/>
  <c r="H9" i="6"/>
  <c r="M9" i="7" s="1"/>
  <c r="H10" i="6"/>
  <c r="H11" i="6"/>
  <c r="H12" i="6"/>
  <c r="H13" i="6"/>
  <c r="H14" i="6"/>
  <c r="H15" i="6"/>
  <c r="M15" i="7" s="1"/>
  <c r="H16" i="6"/>
  <c r="H2" i="6"/>
  <c r="M3" i="7"/>
  <c r="M14" i="7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I30" i="8"/>
  <c r="H30" i="8"/>
  <c r="G30" i="8"/>
  <c r="F30" i="8"/>
  <c r="E30" i="8"/>
  <c r="I29" i="8"/>
  <c r="H29" i="8"/>
  <c r="G29" i="8"/>
  <c r="F29" i="8"/>
  <c r="E29" i="8"/>
  <c r="I28" i="8"/>
  <c r="H28" i="8"/>
  <c r="G28" i="8"/>
  <c r="F28" i="8"/>
  <c r="E28" i="8"/>
  <c r="I27" i="8"/>
  <c r="H27" i="8"/>
  <c r="G27" i="8"/>
  <c r="F27" i="8"/>
  <c r="E27" i="8"/>
  <c r="K26" i="8"/>
  <c r="I26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N16" i="7"/>
  <c r="L16" i="7"/>
  <c r="N15" i="7"/>
  <c r="L15" i="7"/>
  <c r="N14" i="7"/>
  <c r="L14" i="7"/>
  <c r="N13" i="7"/>
  <c r="L13" i="7"/>
  <c r="N12" i="7"/>
  <c r="L12" i="7"/>
  <c r="N11" i="7"/>
  <c r="L11" i="7"/>
  <c r="N10" i="7"/>
  <c r="L10" i="7"/>
  <c r="N9" i="7"/>
  <c r="L9" i="7"/>
  <c r="N8" i="7"/>
  <c r="L8" i="7"/>
  <c r="N7" i="7"/>
  <c r="L7" i="7"/>
  <c r="N6" i="7"/>
  <c r="L6" i="7"/>
  <c r="N5" i="7"/>
  <c r="L5" i="7"/>
  <c r="N4" i="7"/>
  <c r="L4" i="7"/>
  <c r="N3" i="7"/>
  <c r="L3" i="7"/>
  <c r="N2" i="7"/>
  <c r="L2" i="7"/>
  <c r="G16" i="6"/>
  <c r="G15" i="6"/>
  <c r="G14" i="6"/>
  <c r="G13" i="6"/>
  <c r="G12" i="6"/>
  <c r="M11" i="7"/>
  <c r="G11" i="6"/>
  <c r="G10" i="6"/>
  <c r="G9" i="6"/>
  <c r="G8" i="6"/>
  <c r="G7" i="6"/>
  <c r="G6" i="6"/>
  <c r="G5" i="6"/>
  <c r="M4" i="7"/>
  <c r="G4" i="6"/>
  <c r="G3" i="6"/>
  <c r="G2" i="6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E18" i="5"/>
  <c r="D18" i="5"/>
  <c r="C18" i="5"/>
  <c r="B18" i="5"/>
  <c r="H17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U39" i="4"/>
  <c r="T39" i="4"/>
  <c r="S39" i="4"/>
  <c r="U38" i="4"/>
  <c r="T38" i="4"/>
  <c r="S38" i="4"/>
  <c r="U37" i="4"/>
  <c r="T37" i="4"/>
  <c r="S37" i="4"/>
  <c r="U36" i="4"/>
  <c r="T36" i="4"/>
  <c r="S36" i="4"/>
  <c r="U35" i="4"/>
  <c r="T35" i="4"/>
  <c r="S35" i="4"/>
  <c r="U34" i="4"/>
  <c r="T34" i="4"/>
  <c r="S34" i="4"/>
  <c r="U33" i="4"/>
  <c r="T33" i="4"/>
  <c r="S33" i="4"/>
  <c r="U32" i="4"/>
  <c r="T32" i="4"/>
  <c r="S32" i="4"/>
  <c r="U31" i="4"/>
  <c r="T31" i="4"/>
  <c r="S31" i="4"/>
  <c r="U30" i="4"/>
  <c r="T30" i="4"/>
  <c r="S30" i="4"/>
  <c r="U29" i="4"/>
  <c r="T29" i="4"/>
  <c r="S29" i="4"/>
  <c r="V28" i="4"/>
  <c r="U28" i="4"/>
  <c r="T28" i="4"/>
  <c r="S28" i="4"/>
  <c r="U27" i="4"/>
  <c r="T27" i="4"/>
  <c r="S27" i="4"/>
  <c r="U26" i="4"/>
  <c r="T26" i="4"/>
  <c r="S26" i="4"/>
  <c r="U25" i="4"/>
  <c r="T25" i="4"/>
  <c r="S25" i="4"/>
  <c r="V24" i="4"/>
  <c r="U24" i="4"/>
  <c r="T24" i="4"/>
  <c r="S24" i="4"/>
  <c r="H16" i="4"/>
  <c r="E16" i="4"/>
  <c r="V39" i="4" s="1"/>
  <c r="H14" i="4"/>
  <c r="G14" i="4"/>
  <c r="E14" i="4"/>
  <c r="V37" i="4" s="1"/>
  <c r="E13" i="4"/>
  <c r="V36" i="4" s="1"/>
  <c r="F11" i="4"/>
  <c r="I10" i="4"/>
  <c r="H8" i="4"/>
  <c r="F8" i="4"/>
  <c r="E8" i="4"/>
  <c r="V31" i="4" s="1"/>
  <c r="G6" i="4"/>
  <c r="E5" i="4"/>
  <c r="I4" i="4"/>
  <c r="I3" i="4"/>
  <c r="F3" i="4"/>
  <c r="AA17" i="3"/>
  <c r="Z17" i="3"/>
  <c r="X17" i="3"/>
  <c r="U17" i="3"/>
  <c r="S17" i="3"/>
  <c r="C17" i="2" s="1"/>
  <c r="R17" i="3"/>
  <c r="V17" i="3" s="1"/>
  <c r="Q17" i="3"/>
  <c r="P17" i="3"/>
  <c r="T17" i="3" s="1"/>
  <c r="O17" i="3"/>
  <c r="N17" i="3"/>
  <c r="AA16" i="3"/>
  <c r="X16" i="3"/>
  <c r="V16" i="3"/>
  <c r="S16" i="3"/>
  <c r="R16" i="3"/>
  <c r="Q16" i="3"/>
  <c r="P16" i="3"/>
  <c r="Y15" i="3" s="1"/>
  <c r="O16" i="3"/>
  <c r="X15" i="3" s="1"/>
  <c r="N16" i="3"/>
  <c r="AA15" i="3"/>
  <c r="W15" i="3"/>
  <c r="V15" i="3"/>
  <c r="T15" i="3"/>
  <c r="R15" i="3"/>
  <c r="Q15" i="3"/>
  <c r="U15" i="3" s="1"/>
  <c r="P15" i="3"/>
  <c r="O15" i="3"/>
  <c r="N15" i="3"/>
  <c r="Z14" i="3"/>
  <c r="W14" i="3"/>
  <c r="U14" i="3"/>
  <c r="T14" i="3"/>
  <c r="R14" i="3"/>
  <c r="V14" i="3" s="1"/>
  <c r="Q14" i="3"/>
  <c r="P14" i="3"/>
  <c r="O14" i="3"/>
  <c r="S14" i="3" s="1"/>
  <c r="N14" i="3"/>
  <c r="AA13" i="3"/>
  <c r="Z13" i="3"/>
  <c r="X13" i="3"/>
  <c r="W13" i="3"/>
  <c r="U13" i="3"/>
  <c r="S13" i="3"/>
  <c r="R13" i="3"/>
  <c r="Q13" i="3"/>
  <c r="P13" i="3"/>
  <c r="O13" i="3"/>
  <c r="X14" i="3" s="1"/>
  <c r="N13" i="3"/>
  <c r="W12" i="3" s="1"/>
  <c r="AA12" i="3"/>
  <c r="X12" i="3"/>
  <c r="V12" i="3"/>
  <c r="S12" i="3"/>
  <c r="H16" i="2" s="1"/>
  <c r="R12" i="3"/>
  <c r="Q12" i="3"/>
  <c r="P12" i="3"/>
  <c r="T12" i="3" s="1"/>
  <c r="O12" i="3"/>
  <c r="N12" i="3"/>
  <c r="Y11" i="3"/>
  <c r="V11" i="3"/>
  <c r="T11" i="3"/>
  <c r="R11" i="3"/>
  <c r="Q11" i="3"/>
  <c r="U11" i="3" s="1"/>
  <c r="P11" i="3"/>
  <c r="O11" i="3"/>
  <c r="N11" i="3"/>
  <c r="W11" i="3" s="1"/>
  <c r="Z10" i="3"/>
  <c r="Y10" i="3"/>
  <c r="W10" i="3"/>
  <c r="U10" i="3"/>
  <c r="T10" i="3"/>
  <c r="R10" i="3"/>
  <c r="I9" i="4" s="1"/>
  <c r="Q10" i="3"/>
  <c r="P10" i="3"/>
  <c r="O10" i="3"/>
  <c r="N10" i="3"/>
  <c r="AA9" i="3"/>
  <c r="Z9" i="3"/>
  <c r="X9" i="3"/>
  <c r="W9" i="3"/>
  <c r="U9" i="3"/>
  <c r="S9" i="3"/>
  <c r="R9" i="3"/>
  <c r="V9" i="3" s="1"/>
  <c r="Q9" i="3"/>
  <c r="P9" i="3"/>
  <c r="T9" i="3" s="1"/>
  <c r="O9" i="3"/>
  <c r="N9" i="3"/>
  <c r="AA8" i="3"/>
  <c r="V8" i="3"/>
  <c r="S8" i="3"/>
  <c r="C14" i="2" s="1"/>
  <c r="R8" i="3"/>
  <c r="Q8" i="3"/>
  <c r="U8" i="3" s="1"/>
  <c r="P8" i="3"/>
  <c r="T8" i="3" s="1"/>
  <c r="O8" i="3"/>
  <c r="N8" i="3"/>
  <c r="AA7" i="3"/>
  <c r="Y7" i="3"/>
  <c r="W7" i="3"/>
  <c r="V7" i="3"/>
  <c r="T7" i="3"/>
  <c r="R7" i="3"/>
  <c r="AA6" i="3" s="1"/>
  <c r="Q7" i="3"/>
  <c r="Z6" i="3" s="1"/>
  <c r="P7" i="3"/>
  <c r="O7" i="3"/>
  <c r="N7" i="3"/>
  <c r="W8" i="3" s="1"/>
  <c r="Y6" i="3"/>
  <c r="W6" i="3"/>
  <c r="U6" i="3"/>
  <c r="T6" i="3"/>
  <c r="R6" i="3"/>
  <c r="Q6" i="3"/>
  <c r="P6" i="3"/>
  <c r="O6" i="3"/>
  <c r="S6" i="3" s="1"/>
  <c r="N6" i="3"/>
  <c r="AA5" i="3"/>
  <c r="Z5" i="3"/>
  <c r="X5" i="3"/>
  <c r="U5" i="3"/>
  <c r="S5" i="3"/>
  <c r="R5" i="3"/>
  <c r="V5" i="3" s="1"/>
  <c r="Q5" i="3"/>
  <c r="P5" i="3"/>
  <c r="T5" i="3" s="1"/>
  <c r="O5" i="3"/>
  <c r="N5" i="3"/>
  <c r="AA4" i="3"/>
  <c r="X4" i="3"/>
  <c r="V4" i="3"/>
  <c r="S4" i="3"/>
  <c r="R4" i="3"/>
  <c r="Q4" i="3"/>
  <c r="P4" i="3"/>
  <c r="O4" i="3"/>
  <c r="X3" i="3" s="1"/>
  <c r="N4" i="3"/>
  <c r="AA3" i="3"/>
  <c r="W3" i="3"/>
  <c r="V3" i="3"/>
  <c r="T3" i="3"/>
  <c r="R3" i="3"/>
  <c r="Q3" i="3"/>
  <c r="U3" i="3" s="1"/>
  <c r="P3" i="3"/>
  <c r="O3" i="3"/>
  <c r="S3" i="3" s="1"/>
  <c r="H13" i="2" s="1"/>
  <c r="N3" i="3"/>
  <c r="E17" i="2"/>
  <c r="D17" i="2"/>
  <c r="B17" i="2"/>
  <c r="I16" i="2"/>
  <c r="G16" i="2"/>
  <c r="E16" i="2"/>
  <c r="C16" i="2"/>
  <c r="H15" i="2"/>
  <c r="E15" i="2"/>
  <c r="B15" i="2"/>
  <c r="H14" i="2"/>
  <c r="D14" i="2"/>
  <c r="C13" i="2"/>
  <c r="B13" i="2"/>
  <c r="H7" i="2"/>
  <c r="D7" i="2"/>
  <c r="H6" i="2"/>
  <c r="D6" i="2"/>
  <c r="I24" i="8" s="1"/>
  <c r="C6" i="2"/>
  <c r="I5" i="2"/>
  <c r="E5" i="2"/>
  <c r="D4" i="2"/>
  <c r="B4" i="2"/>
  <c r="C3" i="2"/>
  <c r="F74" i="1"/>
  <c r="E74" i="1"/>
  <c r="C74" i="1"/>
  <c r="F73" i="1"/>
  <c r="E73" i="1"/>
  <c r="D73" i="1"/>
  <c r="F72" i="1"/>
  <c r="E72" i="1"/>
  <c r="C72" i="1"/>
  <c r="F71" i="1"/>
  <c r="E71" i="1"/>
  <c r="D71" i="1"/>
  <c r="E70" i="1"/>
  <c r="F70" i="1" s="1"/>
  <c r="C70" i="1"/>
  <c r="F69" i="1"/>
  <c r="E69" i="1"/>
  <c r="D69" i="1"/>
  <c r="E68" i="1"/>
  <c r="F68" i="1" s="1"/>
  <c r="C68" i="1"/>
  <c r="F67" i="1"/>
  <c r="E67" i="1"/>
  <c r="D67" i="1"/>
  <c r="F66" i="1"/>
  <c r="E66" i="1"/>
  <c r="C66" i="1"/>
  <c r="F65" i="1"/>
  <c r="E65" i="1"/>
  <c r="D65" i="1"/>
  <c r="F64" i="1"/>
  <c r="E64" i="1"/>
  <c r="C64" i="1"/>
  <c r="F63" i="1"/>
  <c r="E63" i="1"/>
  <c r="D63" i="1"/>
  <c r="E62" i="1"/>
  <c r="F62" i="1" s="1"/>
  <c r="C62" i="1"/>
  <c r="F61" i="1"/>
  <c r="E61" i="1"/>
  <c r="D61" i="1"/>
  <c r="E60" i="1"/>
  <c r="F60" i="1" s="1"/>
  <c r="C60" i="1"/>
  <c r="S55" i="1"/>
  <c r="D74" i="1" s="1"/>
  <c r="R55" i="1"/>
  <c r="S54" i="1"/>
  <c r="R54" i="1"/>
  <c r="C73" i="1" s="1"/>
  <c r="S53" i="1"/>
  <c r="D72" i="1" s="1"/>
  <c r="R53" i="1"/>
  <c r="S52" i="1"/>
  <c r="R52" i="1"/>
  <c r="C71" i="1" s="1"/>
  <c r="S51" i="1"/>
  <c r="D70" i="1" s="1"/>
  <c r="R51" i="1"/>
  <c r="S50" i="1"/>
  <c r="R50" i="1"/>
  <c r="C69" i="1" s="1"/>
  <c r="S49" i="1"/>
  <c r="D68" i="1" s="1"/>
  <c r="R49" i="1"/>
  <c r="S48" i="1"/>
  <c r="R48" i="1"/>
  <c r="C67" i="1" s="1"/>
  <c r="S47" i="1"/>
  <c r="D66" i="1" s="1"/>
  <c r="R47" i="1"/>
  <c r="S46" i="1"/>
  <c r="R46" i="1"/>
  <c r="C65" i="1" s="1"/>
  <c r="S45" i="1"/>
  <c r="D64" i="1" s="1"/>
  <c r="R45" i="1"/>
  <c r="S44" i="1"/>
  <c r="R44" i="1"/>
  <c r="C63" i="1" s="1"/>
  <c r="S43" i="1"/>
  <c r="D62" i="1" s="1"/>
  <c r="R43" i="1"/>
  <c r="S42" i="1"/>
  <c r="R42" i="1"/>
  <c r="C61" i="1" s="1"/>
  <c r="S41" i="1"/>
  <c r="D60" i="1" s="1"/>
  <c r="R41" i="1"/>
  <c r="R16" i="1"/>
  <c r="Q16" i="1"/>
  <c r="P16" i="1"/>
  <c r="E14" i="2" s="1"/>
  <c r="O16" i="1"/>
  <c r="N16" i="1"/>
  <c r="M16" i="1"/>
  <c r="G16" i="4" s="1"/>
  <c r="L16" i="1"/>
  <c r="F16" i="4" s="1"/>
  <c r="K16" i="1"/>
  <c r="S15" i="1"/>
  <c r="Q15" i="1"/>
  <c r="P15" i="1"/>
  <c r="W6" i="1" s="1"/>
  <c r="O15" i="1"/>
  <c r="I15" i="4" s="1"/>
  <c r="N15" i="1"/>
  <c r="R15" i="1" s="1"/>
  <c r="M15" i="1"/>
  <c r="L15" i="1"/>
  <c r="K15" i="1"/>
  <c r="E15" i="4" s="1"/>
  <c r="V38" i="4" s="1"/>
  <c r="Q14" i="1"/>
  <c r="P14" i="1"/>
  <c r="O14" i="1"/>
  <c r="N14" i="1"/>
  <c r="R14" i="1" s="1"/>
  <c r="M14" i="1"/>
  <c r="L14" i="1"/>
  <c r="F14" i="4" s="1"/>
  <c r="K14" i="1"/>
  <c r="R13" i="1"/>
  <c r="Q13" i="1"/>
  <c r="P13" i="1"/>
  <c r="E13" i="2" s="1"/>
  <c r="O13" i="1"/>
  <c r="N13" i="1"/>
  <c r="H13" i="4" s="1"/>
  <c r="M13" i="1"/>
  <c r="G13" i="4" s="1"/>
  <c r="L13" i="1"/>
  <c r="F13" i="4" s="1"/>
  <c r="K13" i="1"/>
  <c r="S12" i="1"/>
  <c r="Q12" i="1"/>
  <c r="P12" i="1"/>
  <c r="E6" i="2" s="1"/>
  <c r="O12" i="1"/>
  <c r="N12" i="1"/>
  <c r="M12" i="1"/>
  <c r="L12" i="1"/>
  <c r="B16" i="2" s="1"/>
  <c r="K12" i="1"/>
  <c r="Q11" i="1"/>
  <c r="P11" i="1"/>
  <c r="O11" i="1"/>
  <c r="S11" i="1" s="1"/>
  <c r="N11" i="1"/>
  <c r="M11" i="1"/>
  <c r="L11" i="1"/>
  <c r="R11" i="1" s="1"/>
  <c r="K11" i="1"/>
  <c r="E11" i="4" s="1"/>
  <c r="V34" i="4" s="1"/>
  <c r="S10" i="1"/>
  <c r="R10" i="1"/>
  <c r="Q10" i="1"/>
  <c r="P10" i="1"/>
  <c r="C5" i="2" s="1"/>
  <c r="O10" i="1"/>
  <c r="N10" i="1"/>
  <c r="M10" i="1"/>
  <c r="G10" i="4" s="1"/>
  <c r="L10" i="1"/>
  <c r="K10" i="1"/>
  <c r="E10" i="4" s="1"/>
  <c r="V33" i="4" s="1"/>
  <c r="S9" i="1"/>
  <c r="Q9" i="1"/>
  <c r="P9" i="1"/>
  <c r="W4" i="1" s="1"/>
  <c r="O9" i="1"/>
  <c r="N9" i="1"/>
  <c r="H9" i="4" s="1"/>
  <c r="M9" i="1"/>
  <c r="G9" i="4" s="1"/>
  <c r="L9" i="1"/>
  <c r="F9" i="4" s="1"/>
  <c r="K9" i="1"/>
  <c r="R8" i="1"/>
  <c r="Q8" i="1"/>
  <c r="P8" i="1"/>
  <c r="H5" i="2" s="1"/>
  <c r="O8" i="1"/>
  <c r="N8" i="1"/>
  <c r="M8" i="1"/>
  <c r="G8" i="4" s="1"/>
  <c r="L8" i="1"/>
  <c r="K8" i="1"/>
  <c r="S7" i="1"/>
  <c r="R7" i="1"/>
  <c r="P7" i="1"/>
  <c r="C4" i="2" s="1"/>
  <c r="O7" i="1"/>
  <c r="I7" i="4" s="1"/>
  <c r="N7" i="1"/>
  <c r="H7" i="4" s="1"/>
  <c r="M7" i="1"/>
  <c r="L7" i="1"/>
  <c r="F7" i="4" s="1"/>
  <c r="K7" i="1"/>
  <c r="E7" i="4" s="1"/>
  <c r="V30" i="4" s="1"/>
  <c r="X6" i="1"/>
  <c r="V6" i="1"/>
  <c r="R6" i="1"/>
  <c r="Q6" i="1"/>
  <c r="P6" i="1"/>
  <c r="E4" i="2" s="1"/>
  <c r="O6" i="1"/>
  <c r="N6" i="1"/>
  <c r="H6" i="4" s="1"/>
  <c r="M6" i="1"/>
  <c r="L6" i="1"/>
  <c r="K6" i="1"/>
  <c r="I14" i="2" s="1"/>
  <c r="X5" i="1"/>
  <c r="V5" i="1"/>
  <c r="S5" i="1"/>
  <c r="Q5" i="1"/>
  <c r="P5" i="1"/>
  <c r="V3" i="1" s="1"/>
  <c r="O5" i="1"/>
  <c r="I5" i="4" s="1"/>
  <c r="N5" i="1"/>
  <c r="H5" i="4" s="1"/>
  <c r="M5" i="1"/>
  <c r="G5" i="4" s="1"/>
  <c r="L5" i="1"/>
  <c r="F5" i="4" s="1"/>
  <c r="K5" i="1"/>
  <c r="V4" i="1"/>
  <c r="R4" i="1"/>
  <c r="Q4" i="1"/>
  <c r="P4" i="1"/>
  <c r="O4" i="1"/>
  <c r="S4" i="1" s="1"/>
  <c r="N4" i="1"/>
  <c r="H4" i="4" s="1"/>
  <c r="M4" i="1"/>
  <c r="L4" i="1"/>
  <c r="F4" i="4" s="1"/>
  <c r="K4" i="1"/>
  <c r="E4" i="4" s="1"/>
  <c r="V27" i="4" s="1"/>
  <c r="W3" i="1"/>
  <c r="S3" i="1"/>
  <c r="R3" i="1"/>
  <c r="Q3" i="1"/>
  <c r="P3" i="1"/>
  <c r="O3" i="1"/>
  <c r="N3" i="1"/>
  <c r="M3" i="1"/>
  <c r="G3" i="4" s="1"/>
  <c r="L3" i="1"/>
  <c r="B3" i="2" s="1"/>
  <c r="K3" i="1"/>
  <c r="I13" i="2" s="1"/>
  <c r="X2" i="1"/>
  <c r="V2" i="1"/>
  <c r="Q2" i="1"/>
  <c r="P2" i="1"/>
  <c r="H3" i="2" s="1"/>
  <c r="O2" i="1"/>
  <c r="N2" i="1"/>
  <c r="H2" i="4" s="1"/>
  <c r="M2" i="1"/>
  <c r="G2" i="4" s="1"/>
  <c r="L2" i="1"/>
  <c r="G3" i="2" s="1"/>
  <c r="K2" i="1"/>
  <c r="E2" i="4" s="1"/>
  <c r="V25" i="4" s="1"/>
  <c r="M12" i="7" l="1"/>
  <c r="M2" i="7"/>
  <c r="P2" i="7" s="1"/>
  <c r="M10" i="7"/>
  <c r="Z12" i="3"/>
  <c r="U12" i="3"/>
  <c r="G6" i="2"/>
  <c r="T13" i="3"/>
  <c r="Y13" i="3"/>
  <c r="Y14" i="3"/>
  <c r="F2" i="4"/>
  <c r="I11" i="4"/>
  <c r="M16" i="7"/>
  <c r="P16" i="7" s="1"/>
  <c r="T16" i="7" s="1"/>
  <c r="O8" i="7"/>
  <c r="R8" i="7" s="1"/>
  <c r="O16" i="7"/>
  <c r="R16" i="7" s="1"/>
  <c r="I25" i="8"/>
  <c r="I33" i="8"/>
  <c r="Y5" i="3"/>
  <c r="T4" i="3"/>
  <c r="Z16" i="3"/>
  <c r="U16" i="3"/>
  <c r="Z15" i="3"/>
  <c r="G11" i="4"/>
  <c r="S2" i="1"/>
  <c r="H3" i="4"/>
  <c r="D5" i="2"/>
  <c r="I23" i="8" s="1"/>
  <c r="L23" i="8" s="1"/>
  <c r="E9" i="4"/>
  <c r="V32" i="4" s="1"/>
  <c r="D15" i="2"/>
  <c r="I17" i="2"/>
  <c r="I7" i="2"/>
  <c r="I35" i="8" s="1"/>
  <c r="H4" i="2"/>
  <c r="G13" i="2"/>
  <c r="I15" i="2"/>
  <c r="I2" i="4"/>
  <c r="E6" i="4"/>
  <c r="V29" i="4" s="1"/>
  <c r="G12" i="4"/>
  <c r="H15" i="4"/>
  <c r="M13" i="7"/>
  <c r="O5" i="7"/>
  <c r="O13" i="7"/>
  <c r="R13" i="7" s="1"/>
  <c r="I22" i="8"/>
  <c r="I3" i="2"/>
  <c r="I31" i="8" s="1"/>
  <c r="K31" i="8" s="1"/>
  <c r="R6" i="7"/>
  <c r="O6" i="7"/>
  <c r="Z4" i="3"/>
  <c r="U4" i="3"/>
  <c r="Z3" i="3"/>
  <c r="O3" i="7"/>
  <c r="R3" i="7" s="1"/>
  <c r="X3" i="1"/>
  <c r="X4" i="1"/>
  <c r="R5" i="1"/>
  <c r="G15" i="2"/>
  <c r="G5" i="2"/>
  <c r="I6" i="2"/>
  <c r="I34" i="8" s="1"/>
  <c r="L24" i="8" s="1"/>
  <c r="E12" i="4"/>
  <c r="V35" i="4" s="1"/>
  <c r="D16" i="2"/>
  <c r="G7" i="2"/>
  <c r="B5" i="2"/>
  <c r="B7" i="2"/>
  <c r="Y3" i="3"/>
  <c r="X11" i="3"/>
  <c r="S10" i="3"/>
  <c r="X10" i="3"/>
  <c r="AA14" i="3"/>
  <c r="V13" i="3"/>
  <c r="I12" i="4"/>
  <c r="O2" i="7"/>
  <c r="R2" i="7" s="1"/>
  <c r="R10" i="7"/>
  <c r="O10" i="7"/>
  <c r="I14" i="4"/>
  <c r="S14" i="1"/>
  <c r="M5" i="7"/>
  <c r="O11" i="7"/>
  <c r="R11" i="7" s="1"/>
  <c r="E3" i="2"/>
  <c r="W2" i="1"/>
  <c r="X7" i="3"/>
  <c r="S7" i="3"/>
  <c r="X6" i="3"/>
  <c r="X8" i="3"/>
  <c r="Y9" i="3"/>
  <c r="S15" i="3"/>
  <c r="H17" i="2" s="1"/>
  <c r="G17" i="2"/>
  <c r="M6" i="7"/>
  <c r="P6" i="7" s="1"/>
  <c r="O7" i="7"/>
  <c r="R7" i="7" s="1"/>
  <c r="P10" i="7"/>
  <c r="T10" i="7" s="1"/>
  <c r="R15" i="7"/>
  <c r="O15" i="7"/>
  <c r="P15" i="7" s="1"/>
  <c r="E3" i="4"/>
  <c r="V26" i="4" s="1"/>
  <c r="D13" i="2"/>
  <c r="D3" i="2"/>
  <c r="I13" i="4"/>
  <c r="S13" i="1"/>
  <c r="Y17" i="3"/>
  <c r="T16" i="3"/>
  <c r="O14" i="7"/>
  <c r="P14" i="7" s="1"/>
  <c r="F6" i="4"/>
  <c r="G4" i="2"/>
  <c r="B14" i="2"/>
  <c r="R2" i="1"/>
  <c r="I6" i="4"/>
  <c r="S6" i="1"/>
  <c r="G7" i="4"/>
  <c r="Q7" i="1"/>
  <c r="G15" i="4"/>
  <c r="R9" i="1"/>
  <c r="H10" i="4"/>
  <c r="E7" i="2"/>
  <c r="G14" i="2"/>
  <c r="W4" i="3"/>
  <c r="W5" i="3"/>
  <c r="Y4" i="3"/>
  <c r="V6" i="3"/>
  <c r="Y8" i="3"/>
  <c r="Z11" i="3"/>
  <c r="S11" i="3"/>
  <c r="C15" i="2" s="1"/>
  <c r="Y12" i="3"/>
  <c r="W16" i="3"/>
  <c r="W17" i="3"/>
  <c r="Y16" i="3"/>
  <c r="F10" i="4"/>
  <c r="M7" i="7"/>
  <c r="P7" i="7" s="1"/>
  <c r="R4" i="7"/>
  <c r="O4" i="7"/>
  <c r="P4" i="7" s="1"/>
  <c r="T4" i="7" s="1"/>
  <c r="O12" i="7"/>
  <c r="I21" i="8"/>
  <c r="W5" i="1"/>
  <c r="S8" i="1"/>
  <c r="I8" i="4"/>
  <c r="H11" i="4"/>
  <c r="R12" i="1"/>
  <c r="H12" i="4"/>
  <c r="S16" i="1"/>
  <c r="I16" i="4"/>
  <c r="Z8" i="3"/>
  <c r="U7" i="3"/>
  <c r="Z7" i="3"/>
  <c r="V10" i="3"/>
  <c r="AA10" i="3"/>
  <c r="AA11" i="3"/>
  <c r="G4" i="4"/>
  <c r="R9" i="7"/>
  <c r="O9" i="7"/>
  <c r="P9" i="7" s="1"/>
  <c r="T9" i="7" s="1"/>
  <c r="F15" i="4"/>
  <c r="F12" i="4"/>
  <c r="I4" i="2"/>
  <c r="I32" i="8" s="1"/>
  <c r="B6" i="2"/>
  <c r="C7" i="2"/>
  <c r="P12" i="7" l="1"/>
  <c r="T7" i="7"/>
  <c r="J26" i="8"/>
  <c r="J33" i="8"/>
  <c r="T14" i="7"/>
  <c r="J25" i="8"/>
  <c r="T6" i="7"/>
  <c r="R14" i="7"/>
  <c r="J34" i="8"/>
  <c r="T15" i="7"/>
  <c r="J29" i="8"/>
  <c r="J23" i="8"/>
  <c r="P8" i="7"/>
  <c r="P11" i="7"/>
  <c r="R12" i="7"/>
  <c r="P13" i="7"/>
  <c r="P5" i="7"/>
  <c r="J38" i="8" s="1"/>
  <c r="L25" i="8"/>
  <c r="P3" i="7"/>
  <c r="J31" i="8"/>
  <c r="T12" i="7"/>
  <c r="L22" i="8"/>
  <c r="J35" i="8"/>
  <c r="R5" i="7"/>
  <c r="T19" i="7"/>
  <c r="T2" i="7"/>
  <c r="J21" i="8"/>
  <c r="L21" i="8"/>
  <c r="K21" i="8"/>
  <c r="K36" i="8" s="1"/>
  <c r="J28" i="8"/>
  <c r="J24" i="8" l="1"/>
  <c r="T5" i="7"/>
  <c r="T13" i="7"/>
  <c r="J32" i="8"/>
  <c r="J30" i="8"/>
  <c r="T11" i="7"/>
  <c r="J27" i="8"/>
  <c r="T8" i="7"/>
  <c r="J22" i="8"/>
  <c r="T3" i="7"/>
  <c r="T18" i="7" l="1"/>
  <c r="J3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 xml:space="preserve">morteza sadeghi:
</t>
        </r>
        <r>
          <rPr>
            <sz val="9"/>
            <color rgb="FF000000"/>
            <rFont val="Tahoma"/>
            <family val="2"/>
            <charset val="1"/>
          </rPr>
          <t>heer, I calculated transfer time as a pat of MLFMA in Code</t>
        </r>
      </text>
    </comment>
  </commentList>
</comments>
</file>

<file path=xl/sharedStrings.xml><?xml version="1.0" encoding="utf-8"?>
<sst xmlns="http://schemas.openxmlformats.org/spreadsheetml/2006/main" count="206" uniqueCount="83">
  <si>
    <t>N</t>
  </si>
  <si>
    <t>L</t>
  </si>
  <si>
    <t>inc</t>
  </si>
  <si>
    <t>t</t>
  </si>
  <si>
    <t>avg_time</t>
  </si>
  <si>
    <t>MLFMA_time</t>
  </si>
  <si>
    <t>nearFieldTime</t>
  </si>
  <si>
    <t>farFieldTime</t>
  </si>
  <si>
    <t>transferTime</t>
  </si>
  <si>
    <t>computationTime</t>
  </si>
  <si>
    <t>share NearField</t>
  </si>
  <si>
    <t>share FarField</t>
  </si>
  <si>
    <t>share Transfer</t>
  </si>
  <si>
    <t>share Computation</t>
  </si>
  <si>
    <t>L’=L+1</t>
  </si>
  <si>
    <t>L’=L</t>
  </si>
  <si>
    <t>shareTransfer</t>
  </si>
  <si>
    <t>shareCompute</t>
  </si>
  <si>
    <t>pred share transfer</t>
  </si>
  <si>
    <t>pred share compute</t>
  </si>
  <si>
    <t>Dense Tree
L’=L-1
256 Box per Cluster</t>
  </si>
  <si>
    <t>Base Tree
64 Box per Cluster</t>
  </si>
  <si>
    <t>Less Dense Tree
L’=L+1
16 Box per Cluster</t>
  </si>
  <si>
    <t>P2P SpeedUp</t>
  </si>
  <si>
    <t>P2P Share</t>
  </si>
  <si>
    <t>Overall SpeedUp</t>
  </si>
  <si>
    <t>Base Level</t>
  </si>
  <si>
    <t>Speed of Redundant Implementation to Base Implementation Base Level</t>
  </si>
  <si>
    <t>specs</t>
  </si>
  <si>
    <t>raw cvalues</t>
  </si>
  <si>
    <t>true values</t>
  </si>
  <si>
    <t>shaer</t>
  </si>
  <si>
    <t>X to base level erdundant tree</t>
  </si>
  <si>
    <t>Box</t>
  </si>
  <si>
    <t>Duplicate Mem (MB)</t>
  </si>
  <si>
    <t>duplicationTime</t>
  </si>
  <si>
    <t>MLFMA</t>
  </si>
  <si>
    <t>nearField</t>
  </si>
  <si>
    <t>farField</t>
  </si>
  <si>
    <t>TransferTime</t>
  </si>
  <si>
    <t>ComputationTime</t>
  </si>
  <si>
    <t>Share NF</t>
  </si>
  <si>
    <t>Share FF</t>
  </si>
  <si>
    <t>Share Transfer</t>
  </si>
  <si>
    <t>Share Computation</t>
  </si>
  <si>
    <t>NF</t>
  </si>
  <si>
    <t>FF</t>
  </si>
  <si>
    <t>Transfer</t>
  </si>
  <si>
    <t>Compute</t>
  </si>
  <si>
    <t>H = I + J</t>
  </si>
  <si>
    <t>N=O+P</t>
  </si>
  <si>
    <t>O=Q+R</t>
  </si>
  <si>
    <t>NearField</t>
  </si>
  <si>
    <t>Computation</t>
  </si>
  <si>
    <t>modeling transfer time</t>
  </si>
  <si>
    <t>pred transfer</t>
  </si>
  <si>
    <t>gussed formula</t>
  </si>
  <si>
    <t>pred formula 2</t>
  </si>
  <si>
    <t>pred formula 3</t>
  </si>
  <si>
    <t>X ComputationTime</t>
  </si>
  <si>
    <t>x kernel</t>
  </si>
  <si>
    <t>pred transfer X</t>
  </si>
  <si>
    <t>pred computation X formula 6</t>
  </si>
  <si>
    <t>pred X</t>
  </si>
  <si>
    <t>rel err</t>
  </si>
  <si>
    <t>avg rel err</t>
  </si>
  <si>
    <t>corr</t>
  </si>
  <si>
    <t>Near-Field</t>
  </si>
  <si>
    <t>FarField</t>
  </si>
  <si>
    <t>transfer</t>
  </si>
  <si>
    <t>computation</t>
  </si>
  <si>
    <t>Dense Tree</t>
  </si>
  <si>
    <t>Base Tree</t>
  </si>
  <si>
    <t>Less Dense Tree</t>
  </si>
  <si>
    <t>Normalized by farfield time</t>
  </si>
  <si>
    <t>Speedup redundancy to base level tree</t>
  </si>
  <si>
    <t>avg X</t>
  </si>
  <si>
    <t>Near-Field Normalized</t>
  </si>
  <si>
    <t>CORR</t>
  </si>
  <si>
    <t>pred</t>
  </si>
  <si>
    <t>pred x computation</t>
  </si>
  <si>
    <t xml:space="preserve">pred x </t>
  </si>
  <si>
    <t>pred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</si>
</sst>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sz val="8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AFABAB"/>
        <bgColor rgb="FFB3B3B3"/>
      </patternFill>
    </fill>
    <fill>
      <patternFill patternType="solid">
        <fgColor rgb="FFDEEBF7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ADB9CA"/>
        <bgColor rgb="FFB3B3B3"/>
      </patternFill>
    </fill>
    <fill>
      <patternFill patternType="solid">
        <fgColor rgb="FFE7E6E6"/>
        <bgColor rgb="FFDEEBF7"/>
      </patternFill>
    </fill>
    <fill>
      <patternFill patternType="solid">
        <fgColor rgb="FFC5E0B4"/>
        <bgColor rgb="FFD9D9D9"/>
      </patternFill>
    </fill>
    <fill>
      <patternFill patternType="solid">
        <fgColor rgb="FF70AD47"/>
        <bgColor rgb="FF81D41A"/>
      </patternFill>
    </fill>
    <fill>
      <patternFill patternType="solid">
        <fgColor rgb="FFE2F0D9"/>
        <bgColor rgb="FFE7E6E6"/>
      </patternFill>
    </fill>
    <fill>
      <patternFill patternType="solid">
        <fgColor rgb="FFFFFF00"/>
        <bgColor rgb="FFFFD320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textRotation="90"/>
    </xf>
    <xf numFmtId="0" fontId="0" fillId="8" borderId="0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0" xfId="0" applyFont="1" applyBorder="1" applyAlignment="1">
      <alignment horizontal="center"/>
    </xf>
    <xf numFmtId="0" fontId="0" fillId="0" borderId="0" xfId="0" applyFont="1"/>
    <xf numFmtId="0" fontId="0" fillId="2" borderId="0" xfId="0" applyFont="1" applyFill="1"/>
    <xf numFmtId="0" fontId="0" fillId="3" borderId="0" xfId="0" applyFont="1" applyFill="1"/>
    <xf numFmtId="0" fontId="0" fillId="4" borderId="0" xfId="0" applyFont="1" applyFill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5" borderId="0" xfId="0" applyFont="1" applyFill="1"/>
    <xf numFmtId="0" fontId="0" fillId="6" borderId="0" xfId="0" applyFont="1" applyFill="1"/>
    <xf numFmtId="0" fontId="0" fillId="7" borderId="0" xfId="0" applyFill="1"/>
    <xf numFmtId="0" fontId="0" fillId="0" borderId="0" xfId="0"/>
    <xf numFmtId="0" fontId="0" fillId="9" borderId="0" xfId="0" applyFont="1" applyFill="1"/>
    <xf numFmtId="0" fontId="0" fillId="10" borderId="0" xfId="0" applyFont="1" applyFill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2" fillId="0" borderId="0" xfId="0" applyFont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0" fillId="11" borderId="0" xfId="0" applyFont="1" applyFill="1"/>
    <xf numFmtId="0" fontId="2" fillId="0" borderId="5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0" xfId="0" applyFont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0AD47"/>
      <rgbColor rgb="FF800080"/>
      <rgbColor rgb="FF2A6099"/>
      <rgbColor rgb="FFBFBFBF"/>
      <rgbColor rgb="FF8B8B8B"/>
      <rgbColor rgb="FFAFABAB"/>
      <rgbColor rgb="FF993366"/>
      <rgbColor rgb="FFFFF2CC"/>
      <rgbColor rgb="FFDEEBF7"/>
      <rgbColor rgb="FF660066"/>
      <rgbColor rgb="FFFF8080"/>
      <rgbColor rgb="FF0070C0"/>
      <rgbColor rgb="FFD9D9D9"/>
      <rgbColor rgb="FF000080"/>
      <rgbColor rgb="FFFF00FF"/>
      <rgbColor rgb="FFFFD32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C5E0B4"/>
      <rgbColor rgb="FFADB9CA"/>
      <rgbColor rgb="FFFF99CC"/>
      <rgbColor rgb="FFB3B3B3"/>
      <rgbColor rgb="FFFFC7CE"/>
      <rgbColor rgb="FF4472C4"/>
      <rgbColor rgb="FF5B9BD5"/>
      <rgbColor rgb="FF81D41A"/>
      <rgbColor rgb="FFFFC000"/>
      <rgbColor rgb="FFFF9900"/>
      <rgbColor rgb="FFED7D31"/>
      <rgbColor rgb="FF595959"/>
      <rgbColor rgb="FFA5A5A5"/>
      <rgbColor rgb="FF004586"/>
      <rgbColor rgb="FF00B050"/>
      <rgbColor rgb="FF003300"/>
      <rgbColor rgb="FF333300"/>
      <rgbColor rgb="FFFF420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non_redundnat!$L$1</c:f>
              <c:strCache>
                <c:ptCount val="1"/>
                <c:pt idx="0">
                  <c:v>nearFieldTime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non_redundnat!$L$2:$L$16</c:f>
              <c:numCache>
                <c:formatCode>General</c:formatCode>
                <c:ptCount val="15"/>
                <c:pt idx="0">
                  <c:v>1.2019999999999999E-3</c:v>
                </c:pt>
                <c:pt idx="1">
                  <c:v>3.3799999999999998E-3</c:v>
                </c:pt>
                <c:pt idx="2">
                  <c:v>1.1349E-2</c:v>
                </c:pt>
                <c:pt idx="3">
                  <c:v>2.954E-3</c:v>
                </c:pt>
                <c:pt idx="4">
                  <c:v>9.9550000000000003E-3</c:v>
                </c:pt>
                <c:pt idx="5">
                  <c:v>3.6442000000000002E-2</c:v>
                </c:pt>
                <c:pt idx="6">
                  <c:v>1.1656E-2</c:v>
                </c:pt>
                <c:pt idx="7">
                  <c:v>3.9016999999999996E-2</c:v>
                </c:pt>
                <c:pt idx="8">
                  <c:v>0.13853200000000002</c:v>
                </c:pt>
                <c:pt idx="9">
                  <c:v>4.1961999999999999E-2</c:v>
                </c:pt>
                <c:pt idx="10">
                  <c:v>0.14265</c:v>
                </c:pt>
                <c:pt idx="11">
                  <c:v>0.54179500000000003</c:v>
                </c:pt>
                <c:pt idx="12">
                  <c:v>0.16836800000000002</c:v>
                </c:pt>
                <c:pt idx="13">
                  <c:v>0.55938500000000002</c:v>
                </c:pt>
                <c:pt idx="14">
                  <c:v>2.1713390000000001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14-41B1-B6A3-019F2CF37E49}"/>
            </c:ext>
          </c:extLst>
        </c:ser>
        <c:ser>
          <c:idx val="1"/>
          <c:order val="1"/>
          <c:tx>
            <c:strRef>
              <c:f>non_redundnat!$M$1</c:f>
              <c:strCache>
                <c:ptCount val="1"/>
                <c:pt idx="0">
                  <c:v>farFieldTime</c:v>
                </c:pt>
              </c:strCache>
            </c:strRef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non_redundnat!$M$2:$M$16</c:f>
              <c:numCache>
                <c:formatCode>General</c:formatCode>
                <c:ptCount val="15"/>
                <c:pt idx="0">
                  <c:v>3.7889999999999998E-3</c:v>
                </c:pt>
                <c:pt idx="1">
                  <c:v>1.8619999999999999E-3</c:v>
                </c:pt>
                <c:pt idx="2">
                  <c:v>1.542E-3</c:v>
                </c:pt>
                <c:pt idx="3">
                  <c:v>1.1639999999999999E-2</c:v>
                </c:pt>
                <c:pt idx="4">
                  <c:v>6.2659999999999999E-3</c:v>
                </c:pt>
                <c:pt idx="5">
                  <c:v>4.7549999999999997E-3</c:v>
                </c:pt>
                <c:pt idx="6">
                  <c:v>5.1785999999999999E-2</c:v>
                </c:pt>
                <c:pt idx="7">
                  <c:v>2.579E-2</c:v>
                </c:pt>
                <c:pt idx="8">
                  <c:v>1.7829999999999999E-2</c:v>
                </c:pt>
                <c:pt idx="9">
                  <c:v>0.18731500000000001</c:v>
                </c:pt>
                <c:pt idx="10">
                  <c:v>9.3898999999999996E-2</c:v>
                </c:pt>
                <c:pt idx="11">
                  <c:v>6.9223999999999994E-2</c:v>
                </c:pt>
                <c:pt idx="12">
                  <c:v>0.752471</c:v>
                </c:pt>
                <c:pt idx="13">
                  <c:v>0.37046200000000001</c:v>
                </c:pt>
                <c:pt idx="14">
                  <c:v>0.27735399999999999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14-41B1-B6A3-019F2CF37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42233958"/>
        <c:axId val="84749504"/>
      </c:lineChart>
      <c:catAx>
        <c:axId val="422339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4749504"/>
        <c:crosses val="autoZero"/>
        <c:auto val="1"/>
        <c:lblAlgn val="ctr"/>
        <c:lblOffset val="100"/>
        <c:noMultiLvlLbl val="0"/>
      </c:catAx>
      <c:valAx>
        <c:axId val="8474950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233958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non_redundnat!$O$1</c:f>
              <c:strCache>
                <c:ptCount val="1"/>
                <c:pt idx="0">
                  <c:v>computationTime</c:v>
                </c:pt>
              </c:strCache>
            </c:strRef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non_redundnat!$O$2:$O$16</c:f>
              <c:numCache>
                <c:formatCode>General</c:formatCode>
                <c:ptCount val="15"/>
                <c:pt idx="0">
                  <c:v>7.8700000000000005E-4</c:v>
                </c:pt>
                <c:pt idx="1">
                  <c:v>3.0400000000000002E-3</c:v>
                </c:pt>
                <c:pt idx="2">
                  <c:v>1.091E-2</c:v>
                </c:pt>
                <c:pt idx="3">
                  <c:v>2.1429999999999999E-3</c:v>
                </c:pt>
                <c:pt idx="4">
                  <c:v>9.1400000000000006E-3</c:v>
                </c:pt>
                <c:pt idx="5">
                  <c:v>3.5604999999999998E-2</c:v>
                </c:pt>
                <c:pt idx="6">
                  <c:v>9.2969999999999997E-3</c:v>
                </c:pt>
                <c:pt idx="7">
                  <c:v>3.6666999999999998E-2</c:v>
                </c:pt>
                <c:pt idx="8">
                  <c:v>0.13621</c:v>
                </c:pt>
                <c:pt idx="9">
                  <c:v>3.3425999999999997E-2</c:v>
                </c:pt>
                <c:pt idx="10">
                  <c:v>0.134242</c:v>
                </c:pt>
                <c:pt idx="11">
                  <c:v>0.53213900000000003</c:v>
                </c:pt>
                <c:pt idx="12">
                  <c:v>0.13223799999999999</c:v>
                </c:pt>
                <c:pt idx="13">
                  <c:v>0.52669900000000003</c:v>
                </c:pt>
                <c:pt idx="14">
                  <c:v>2.1370429999999998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3-40A9-874E-BD5AA96BE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35501887"/>
        <c:axId val="36678964"/>
      </c:lineChart>
      <c:catAx>
        <c:axId val="3550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6678964"/>
        <c:crosses val="autoZero"/>
        <c:auto val="1"/>
        <c:lblAlgn val="ctr"/>
        <c:lblOffset val="100"/>
        <c:noMultiLvlLbl val="0"/>
      </c:catAx>
      <c:valAx>
        <c:axId val="3667896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5501887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non_redundnat!$P$1</c:f>
              <c:strCache>
                <c:ptCount val="1"/>
                <c:pt idx="0">
                  <c:v>share NearField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non_redundnat!$P$2:$P$16</c:f>
              <c:numCache>
                <c:formatCode>General</c:formatCode>
                <c:ptCount val="15"/>
                <c:pt idx="0">
                  <c:v>0.13</c:v>
                </c:pt>
                <c:pt idx="1">
                  <c:v>0.47</c:v>
                </c:pt>
                <c:pt idx="2">
                  <c:v>0.75</c:v>
                </c:pt>
                <c:pt idx="3">
                  <c:v>0.12</c:v>
                </c:pt>
                <c:pt idx="4">
                  <c:v>0.47</c:v>
                </c:pt>
                <c:pt idx="5">
                  <c:v>0.88</c:v>
                </c:pt>
                <c:pt idx="6">
                  <c:v>0.13</c:v>
                </c:pt>
                <c:pt idx="7">
                  <c:v>0.49</c:v>
                </c:pt>
                <c:pt idx="8">
                  <c:v>0.82</c:v>
                </c:pt>
                <c:pt idx="9">
                  <c:v>0.13</c:v>
                </c:pt>
                <c:pt idx="10">
                  <c:v>0.49</c:v>
                </c:pt>
                <c:pt idx="11">
                  <c:v>0.82</c:v>
                </c:pt>
                <c:pt idx="12">
                  <c:v>0.12</c:v>
                </c:pt>
                <c:pt idx="13">
                  <c:v>0.49</c:v>
                </c:pt>
                <c:pt idx="14">
                  <c:v>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6-4AB8-B281-FF9BD3595952}"/>
            </c:ext>
          </c:extLst>
        </c:ser>
        <c:ser>
          <c:idx val="1"/>
          <c:order val="1"/>
          <c:tx>
            <c:strRef>
              <c:f>non_redundnat!$Q$1</c:f>
              <c:strCache>
                <c:ptCount val="1"/>
                <c:pt idx="0">
                  <c:v>share FarField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non_redundnat!$Q$2:$Q$16</c:f>
              <c:numCache>
                <c:formatCode>General</c:formatCode>
                <c:ptCount val="15"/>
                <c:pt idx="0">
                  <c:v>0.56999999999999995</c:v>
                </c:pt>
                <c:pt idx="1">
                  <c:v>0.28000000000000003</c:v>
                </c:pt>
                <c:pt idx="2">
                  <c:v>0.11</c:v>
                </c:pt>
                <c:pt idx="3">
                  <c:v>0.64</c:v>
                </c:pt>
                <c:pt idx="4">
                  <c:v>0.32</c:v>
                </c:pt>
                <c:pt idx="5">
                  <c:v>0.12</c:v>
                </c:pt>
                <c:pt idx="6">
                  <c:v>0.7</c:v>
                </c:pt>
                <c:pt idx="7">
                  <c:v>0.34</c:v>
                </c:pt>
                <c:pt idx="8">
                  <c:v>0.11</c:v>
                </c:pt>
                <c:pt idx="9">
                  <c:v>0.7</c:v>
                </c:pt>
                <c:pt idx="10">
                  <c:v>0.34</c:v>
                </c:pt>
                <c:pt idx="11">
                  <c:v>0.11</c:v>
                </c:pt>
                <c:pt idx="12">
                  <c:v>0.69</c:v>
                </c:pt>
                <c:pt idx="13">
                  <c:v>0.34</c:v>
                </c:pt>
                <c:pt idx="14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86-4AB8-B281-FF9BD3595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845690"/>
        <c:axId val="33890983"/>
      </c:barChart>
      <c:catAx>
        <c:axId val="848456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3890983"/>
        <c:crosses val="autoZero"/>
        <c:auto val="1"/>
        <c:lblAlgn val="ctr"/>
        <c:lblOffset val="100"/>
        <c:noMultiLvlLbl val="0"/>
      </c:catAx>
      <c:valAx>
        <c:axId val="338909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484569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non_redundnat!$R$1</c:f>
              <c:strCache>
                <c:ptCount val="1"/>
                <c:pt idx="0">
                  <c:v>share Transfer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non_redundnat!$R$2:$R$16</c:f>
              <c:numCache>
                <c:formatCode>General</c:formatCode>
                <c:ptCount val="15"/>
                <c:pt idx="0">
                  <c:v>0.28000000000000003</c:v>
                </c:pt>
                <c:pt idx="1">
                  <c:v>0.08</c:v>
                </c:pt>
                <c:pt idx="2">
                  <c:v>0.03</c:v>
                </c:pt>
                <c:pt idx="3">
                  <c:v>0.25</c:v>
                </c:pt>
                <c:pt idx="4">
                  <c:v>7.0000000000000007E-2</c:v>
                </c:pt>
                <c:pt idx="5">
                  <c:v>0.02</c:v>
                </c:pt>
                <c:pt idx="6">
                  <c:v>0.2</c:v>
                </c:pt>
                <c:pt idx="7">
                  <c:v>0.06</c:v>
                </c:pt>
                <c:pt idx="8">
                  <c:v>0.02</c:v>
                </c:pt>
                <c:pt idx="9">
                  <c:v>0.2</c:v>
                </c:pt>
                <c:pt idx="10">
                  <c:v>0.06</c:v>
                </c:pt>
                <c:pt idx="11">
                  <c:v>0.02</c:v>
                </c:pt>
                <c:pt idx="12">
                  <c:v>0.21</c:v>
                </c:pt>
                <c:pt idx="13">
                  <c:v>0.06</c:v>
                </c:pt>
                <c:pt idx="14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E-42C1-9502-D29979412552}"/>
            </c:ext>
          </c:extLst>
        </c:ser>
        <c:ser>
          <c:idx val="1"/>
          <c:order val="1"/>
          <c:tx>
            <c:strRef>
              <c:f>non_redundnat!$S$1</c:f>
              <c:strCache>
                <c:ptCount val="1"/>
                <c:pt idx="0">
                  <c:v>share Computation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non_redundnat!$S$2:$S$16</c:f>
              <c:numCache>
                <c:formatCode>General</c:formatCode>
                <c:ptCount val="15"/>
                <c:pt idx="0">
                  <c:v>0.65</c:v>
                </c:pt>
                <c:pt idx="1">
                  <c:v>0.9</c:v>
                </c:pt>
                <c:pt idx="2">
                  <c:v>0.96</c:v>
                </c:pt>
                <c:pt idx="3">
                  <c:v>0.73</c:v>
                </c:pt>
                <c:pt idx="4">
                  <c:v>0.92</c:v>
                </c:pt>
                <c:pt idx="5">
                  <c:v>0.98</c:v>
                </c:pt>
                <c:pt idx="6">
                  <c:v>0.8</c:v>
                </c:pt>
                <c:pt idx="7">
                  <c:v>0.94</c:v>
                </c:pt>
                <c:pt idx="8">
                  <c:v>0.98</c:v>
                </c:pt>
                <c:pt idx="9">
                  <c:v>0.8</c:v>
                </c:pt>
                <c:pt idx="10">
                  <c:v>0.94</c:v>
                </c:pt>
                <c:pt idx="11">
                  <c:v>0.98</c:v>
                </c:pt>
                <c:pt idx="12">
                  <c:v>0.79</c:v>
                </c:pt>
                <c:pt idx="13">
                  <c:v>0.94</c:v>
                </c:pt>
                <c:pt idx="14">
                  <c:v>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EE-42C1-9502-D29979412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362120"/>
        <c:axId val="26552813"/>
      </c:barChart>
      <c:catAx>
        <c:axId val="96362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6552813"/>
        <c:crosses val="autoZero"/>
        <c:auto val="1"/>
        <c:lblAlgn val="ctr"/>
        <c:lblOffset val="100"/>
        <c:noMultiLvlLbl val="0"/>
      </c:catAx>
      <c:valAx>
        <c:axId val="2655281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636212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non_redundnat!$N$1</c:f>
              <c:strCache>
                <c:ptCount val="1"/>
                <c:pt idx="0">
                  <c:v>transferTime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non_redundnat!$N$2:$N$16</c:f>
              <c:numCache>
                <c:formatCode>General</c:formatCode>
                <c:ptCount val="15"/>
                <c:pt idx="0">
                  <c:v>3.3700000000000001E-4</c:v>
                </c:pt>
                <c:pt idx="1">
                  <c:v>2.8299999999999999E-4</c:v>
                </c:pt>
                <c:pt idx="2">
                  <c:v>3.59E-4</c:v>
                </c:pt>
                <c:pt idx="3">
                  <c:v>7.36E-4</c:v>
                </c:pt>
                <c:pt idx="4">
                  <c:v>7.3200000000000001E-4</c:v>
                </c:pt>
                <c:pt idx="5">
                  <c:v>7.5199999999999996E-4</c:v>
                </c:pt>
                <c:pt idx="6">
                  <c:v>2.281E-3</c:v>
                </c:pt>
                <c:pt idx="7">
                  <c:v>2.2669999999999999E-3</c:v>
                </c:pt>
                <c:pt idx="8">
                  <c:v>2.2269999999999998E-3</c:v>
                </c:pt>
                <c:pt idx="9">
                  <c:v>8.4489999999999999E-3</c:v>
                </c:pt>
                <c:pt idx="10">
                  <c:v>8.319E-3</c:v>
                </c:pt>
                <c:pt idx="11">
                  <c:v>9.5670000000000009E-3</c:v>
                </c:pt>
                <c:pt idx="12">
                  <c:v>3.6028999999999999E-2</c:v>
                </c:pt>
                <c:pt idx="13">
                  <c:v>3.2583000000000001E-2</c:v>
                </c:pt>
                <c:pt idx="14">
                  <c:v>3.4201000000000002E-2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6-4195-A69C-8985AF6C0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8127804"/>
        <c:axId val="94492938"/>
      </c:lineChart>
      <c:catAx>
        <c:axId val="81278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4492938"/>
        <c:crosses val="autoZero"/>
        <c:auto val="1"/>
        <c:lblAlgn val="ctr"/>
        <c:lblOffset val="100"/>
        <c:noMultiLvlLbl val="0"/>
      </c:catAx>
      <c:valAx>
        <c:axId val="9449293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127804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3657724691599801"/>
          <c:y val="1.9107410945816802E-2"/>
          <c:w val="0.74113961229684699"/>
          <c:h val="0.63886993312406204"/>
        </c:manualLayout>
      </c:layout>
      <c:lineChart>
        <c:grouping val="standard"/>
        <c:varyColors val="0"/>
        <c:ser>
          <c:idx val="0"/>
          <c:order val="0"/>
          <c:tx>
            <c:v>t=256</c:v>
          </c:tx>
          <c:spPr>
            <a:ln w="2232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non_redundnat!$A$60:$A$64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non_redundnat!$C$60:$C$64</c:f>
              <c:numCache>
                <c:formatCode>General</c:formatCode>
                <c:ptCount val="5"/>
                <c:pt idx="0">
                  <c:v>3.1632742972949157E-2</c:v>
                </c:pt>
                <c:pt idx="1">
                  <c:v>2.0635530431919211E-2</c:v>
                </c:pt>
                <c:pt idx="2">
                  <c:v>1.6075708139635606E-2</c:v>
                </c:pt>
                <c:pt idx="3">
                  <c:v>1.7657970265506327E-2</c:v>
                </c:pt>
                <c:pt idx="4">
                  <c:v>1.5751110259613999E-2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CD-4D9E-AE0D-DB3D489868D7}"/>
            </c:ext>
          </c:extLst>
        </c:ser>
        <c:ser>
          <c:idx val="1"/>
          <c:order val="1"/>
          <c:tx>
            <c:v>Predicted</c:v>
          </c:tx>
          <c:spPr>
            <a:ln w="22320" cap="rnd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non_redundnat!$A$60:$A$64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non_redundnat!$E$60:$E$64</c:f>
              <c:numCache>
                <c:formatCode>General</c:formatCode>
                <c:ptCount val="5"/>
                <c:pt idx="0">
                  <c:v>1.4531250000000001E-2</c:v>
                </c:pt>
                <c:pt idx="1">
                  <c:v>1.4531250000000001E-2</c:v>
                </c:pt>
                <c:pt idx="2">
                  <c:v>1.4531250000000001E-2</c:v>
                </c:pt>
                <c:pt idx="3">
                  <c:v>1.4531250000000001E-2</c:v>
                </c:pt>
                <c:pt idx="4">
                  <c:v>1.4531250000000001E-2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CD-4D9E-AE0D-DB3D489868D7}"/>
            </c:ext>
          </c:extLst>
        </c:ser>
        <c:ser>
          <c:idx val="2"/>
          <c:order val="2"/>
          <c:tx>
            <c:v>t=64</c:v>
          </c:tx>
          <c:spPr>
            <a:ln w="22320">
              <a:solidFill>
                <a:srgbClr val="2A609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non_redundnat!$A$60:$A$64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non_redundnat!$C$65:$C$69</c:f>
              <c:numCache>
                <c:formatCode>General</c:formatCode>
                <c:ptCount val="5"/>
                <c:pt idx="0">
                  <c:v>8.3727810650887566E-2</c:v>
                </c:pt>
                <c:pt idx="1">
                  <c:v>7.3530889000502253E-2</c:v>
                </c:pt>
                <c:pt idx="2">
                  <c:v>5.8102878232565283E-2</c:v>
                </c:pt>
                <c:pt idx="3">
                  <c:v>5.8317560462670871E-2</c:v>
                </c:pt>
                <c:pt idx="4">
                  <c:v>5.824789724429507E-2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CD-4D9E-AE0D-DB3D489868D7}"/>
            </c:ext>
          </c:extLst>
        </c:ser>
        <c:ser>
          <c:idx val="3"/>
          <c:order val="3"/>
          <c:tx>
            <c:v>Predicted</c:v>
          </c:tx>
          <c:spPr>
            <a:ln w="22320" cap="rnd">
              <a:solidFill>
                <a:srgbClr val="2A6099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non_redundnat!$A$60:$A$64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non_redundnat!$E$65:$E$69</c:f>
              <c:numCache>
                <c:formatCode>General</c:formatCode>
                <c:ptCount val="5"/>
                <c:pt idx="0">
                  <c:v>5.8125000000000003E-2</c:v>
                </c:pt>
                <c:pt idx="1">
                  <c:v>5.8125000000000003E-2</c:v>
                </c:pt>
                <c:pt idx="2">
                  <c:v>5.8125000000000003E-2</c:v>
                </c:pt>
                <c:pt idx="3">
                  <c:v>5.8125000000000003E-2</c:v>
                </c:pt>
                <c:pt idx="4">
                  <c:v>5.8125000000000003E-2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CD-4D9E-AE0D-DB3D489868D7}"/>
            </c:ext>
          </c:extLst>
        </c:ser>
        <c:ser>
          <c:idx val="4"/>
          <c:order val="4"/>
          <c:tx>
            <c:v>t=16</c:v>
          </c:tx>
          <c:spPr>
            <a:ln w="2232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non_redundnat!$A$60:$A$64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non_redundnat!$C$70:$C$74</c:f>
              <c:numCache>
                <c:formatCode>General</c:formatCode>
                <c:ptCount val="5"/>
                <c:pt idx="0">
                  <c:v>0.2803660565723794</c:v>
                </c:pt>
                <c:pt idx="1">
                  <c:v>0.24915368991198375</c:v>
                </c:pt>
                <c:pt idx="2">
                  <c:v>0.19569320521619768</c:v>
                </c:pt>
                <c:pt idx="3">
                  <c:v>0.20134883942614748</c:v>
                </c:pt>
                <c:pt idx="4">
                  <c:v>0.21398959422218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CD-4D9E-AE0D-DB3D489868D7}"/>
            </c:ext>
          </c:extLst>
        </c:ser>
        <c:ser>
          <c:idx val="5"/>
          <c:order val="5"/>
          <c:tx>
            <c:v>Predicted</c:v>
          </c:tx>
          <c:spPr>
            <a:ln w="22320" cap="rnd">
              <a:solidFill>
                <a:srgbClr val="70AD47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non_redundnat!$A$60:$A$64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non_redundnat!$E$70:$E$74</c:f>
              <c:numCache>
                <c:formatCode>General</c:formatCode>
                <c:ptCount val="5"/>
                <c:pt idx="0">
                  <c:v>0.23250000000000001</c:v>
                </c:pt>
                <c:pt idx="1">
                  <c:v>0.23250000000000001</c:v>
                </c:pt>
                <c:pt idx="2">
                  <c:v>0.23250000000000001</c:v>
                </c:pt>
                <c:pt idx="3">
                  <c:v>0.23250000000000001</c:v>
                </c:pt>
                <c:pt idx="4">
                  <c:v>0.23250000000000001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CD-4D9E-AE0D-DB3D48986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51171033"/>
        <c:axId val="93784419"/>
      </c:lineChart>
      <c:catAx>
        <c:axId val="511710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3784419"/>
        <c:crosses val="autoZero"/>
        <c:auto val="1"/>
        <c:lblAlgn val="ctr"/>
        <c:lblOffset val="100"/>
        <c:noMultiLvlLbl val="0"/>
      </c:catAx>
      <c:valAx>
        <c:axId val="9378441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Share Transfer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71033"/>
        <c:crosses val="autoZero"/>
        <c:crossBetween val="midCat"/>
      </c:val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1.3804581946348199E-2"/>
          <c:y val="0.81124607615668098"/>
          <c:w val="0.97483599334181903"/>
          <c:h val="0.188506688506689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non_redundnat!$C$59</c:f>
              <c:strCache>
                <c:ptCount val="1"/>
                <c:pt idx="0">
                  <c:v>shareTransfer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non_redundnat!$C$60:$C$74</c:f>
              <c:numCache>
                <c:formatCode>General</c:formatCode>
                <c:ptCount val="15"/>
                <c:pt idx="0">
                  <c:v>3.1632742972949157E-2</c:v>
                </c:pt>
                <c:pt idx="1">
                  <c:v>2.0635530431919211E-2</c:v>
                </c:pt>
                <c:pt idx="2">
                  <c:v>1.6075708139635606E-2</c:v>
                </c:pt>
                <c:pt idx="3">
                  <c:v>1.7657970265506327E-2</c:v>
                </c:pt>
                <c:pt idx="4">
                  <c:v>1.5751110259613999E-2</c:v>
                </c:pt>
                <c:pt idx="5">
                  <c:v>8.3727810650887566E-2</c:v>
                </c:pt>
                <c:pt idx="6">
                  <c:v>7.3530889000502253E-2</c:v>
                </c:pt>
                <c:pt idx="7">
                  <c:v>5.8102878232565283E-2</c:v>
                </c:pt>
                <c:pt idx="8">
                  <c:v>5.8317560462670871E-2</c:v>
                </c:pt>
                <c:pt idx="9">
                  <c:v>5.824789724429507E-2</c:v>
                </c:pt>
                <c:pt idx="10">
                  <c:v>0.2803660565723794</c:v>
                </c:pt>
                <c:pt idx="11">
                  <c:v>0.24915368991198375</c:v>
                </c:pt>
                <c:pt idx="12">
                  <c:v>0.19569320521619768</c:v>
                </c:pt>
                <c:pt idx="13">
                  <c:v>0.20134883942614748</c:v>
                </c:pt>
                <c:pt idx="14">
                  <c:v>0.21398959422218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4B-4DC0-8B24-60FD7A37B64D}"/>
            </c:ext>
          </c:extLst>
        </c:ser>
        <c:ser>
          <c:idx val="1"/>
          <c:order val="1"/>
          <c:tx>
            <c:strRef>
              <c:f>non_redundnat!$E$59</c:f>
              <c:strCache>
                <c:ptCount val="1"/>
                <c:pt idx="0">
                  <c:v>pred share transfer</c:v>
                </c:pt>
              </c:strCache>
            </c:strRef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non_redundnat!$E$60:$E$74</c:f>
              <c:numCache>
                <c:formatCode>General</c:formatCode>
                <c:ptCount val="15"/>
                <c:pt idx="0">
                  <c:v>1.4531250000000001E-2</c:v>
                </c:pt>
                <c:pt idx="1">
                  <c:v>1.4531250000000001E-2</c:v>
                </c:pt>
                <c:pt idx="2">
                  <c:v>1.4531250000000001E-2</c:v>
                </c:pt>
                <c:pt idx="3">
                  <c:v>1.4531250000000001E-2</c:v>
                </c:pt>
                <c:pt idx="4">
                  <c:v>1.4531250000000001E-2</c:v>
                </c:pt>
                <c:pt idx="5">
                  <c:v>5.8125000000000003E-2</c:v>
                </c:pt>
                <c:pt idx="6">
                  <c:v>5.8125000000000003E-2</c:v>
                </c:pt>
                <c:pt idx="7">
                  <c:v>5.8125000000000003E-2</c:v>
                </c:pt>
                <c:pt idx="8">
                  <c:v>5.8125000000000003E-2</c:v>
                </c:pt>
                <c:pt idx="9">
                  <c:v>5.8125000000000003E-2</c:v>
                </c:pt>
                <c:pt idx="10">
                  <c:v>0.23250000000000001</c:v>
                </c:pt>
                <c:pt idx="11">
                  <c:v>0.23250000000000001</c:v>
                </c:pt>
                <c:pt idx="12">
                  <c:v>0.23250000000000001</c:v>
                </c:pt>
                <c:pt idx="13">
                  <c:v>0.23250000000000001</c:v>
                </c:pt>
                <c:pt idx="14">
                  <c:v>0.23250000000000001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4B-4DC0-8B24-60FD7A37B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29304757"/>
        <c:axId val="97122076"/>
      </c:lineChart>
      <c:catAx>
        <c:axId val="293047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7122076"/>
        <c:crosses val="autoZero"/>
        <c:auto val="1"/>
        <c:lblAlgn val="ctr"/>
        <c:lblOffset val="100"/>
        <c:noMultiLvlLbl val="0"/>
      </c:catAx>
      <c:valAx>
        <c:axId val="9712207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9304757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non_redundnat!$D$59</c:f>
              <c:strCache>
                <c:ptCount val="1"/>
                <c:pt idx="0">
                  <c:v>shareCompute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non_redundnat!$D$60:$D$74</c:f>
              <c:numCache>
                <c:formatCode>General</c:formatCode>
                <c:ptCount val="15"/>
                <c:pt idx="0">
                  <c:v>0.9613181778130232</c:v>
                </c:pt>
                <c:pt idx="1">
                  <c:v>0.97703199604851532</c:v>
                </c:pt>
                <c:pt idx="2">
                  <c:v>0.98323852972598391</c:v>
                </c:pt>
                <c:pt idx="3">
                  <c:v>0.9821777609612492</c:v>
                </c:pt>
                <c:pt idx="4">
                  <c:v>0.98420513793562392</c:v>
                </c:pt>
                <c:pt idx="5">
                  <c:v>0.89940828402366868</c:v>
                </c:pt>
                <c:pt idx="6">
                  <c:v>0.91813159216474138</c:v>
                </c:pt>
                <c:pt idx="7">
                  <c:v>0.93976984391419116</c:v>
                </c:pt>
                <c:pt idx="8">
                  <c:v>0.94105853487556956</c:v>
                </c:pt>
                <c:pt idx="9">
                  <c:v>0.94156797196921616</c:v>
                </c:pt>
                <c:pt idx="10">
                  <c:v>0.65474209650582371</c:v>
                </c:pt>
                <c:pt idx="11">
                  <c:v>0.72545700744752872</c:v>
                </c:pt>
                <c:pt idx="12">
                  <c:v>0.7976149622512011</c:v>
                </c:pt>
                <c:pt idx="13">
                  <c:v>0.79657785615556931</c:v>
                </c:pt>
                <c:pt idx="14">
                  <c:v>0.78541052931673483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CB-4296-AB5F-4148E6FAC711}"/>
            </c:ext>
          </c:extLst>
        </c:ser>
        <c:ser>
          <c:idx val="1"/>
          <c:order val="1"/>
          <c:tx>
            <c:strRef>
              <c:f>non_redundnat!$F$59</c:f>
              <c:strCache>
                <c:ptCount val="1"/>
                <c:pt idx="0">
                  <c:v>pred share compute</c:v>
                </c:pt>
              </c:strCache>
            </c:strRef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non_redundnat!$F$60:$F$74</c:f>
              <c:numCache>
                <c:formatCode>General</c:formatCode>
                <c:ptCount val="15"/>
                <c:pt idx="0">
                  <c:v>0.98546875</c:v>
                </c:pt>
                <c:pt idx="1">
                  <c:v>0.98546875</c:v>
                </c:pt>
                <c:pt idx="2">
                  <c:v>0.98546875</c:v>
                </c:pt>
                <c:pt idx="3">
                  <c:v>0.98546875</c:v>
                </c:pt>
                <c:pt idx="4">
                  <c:v>0.98546875</c:v>
                </c:pt>
                <c:pt idx="5">
                  <c:v>0.94187500000000002</c:v>
                </c:pt>
                <c:pt idx="6">
                  <c:v>0.94187500000000002</c:v>
                </c:pt>
                <c:pt idx="7">
                  <c:v>0.94187500000000002</c:v>
                </c:pt>
                <c:pt idx="8">
                  <c:v>0.94187500000000002</c:v>
                </c:pt>
                <c:pt idx="9">
                  <c:v>0.94187500000000002</c:v>
                </c:pt>
                <c:pt idx="10">
                  <c:v>0.76749999999999996</c:v>
                </c:pt>
                <c:pt idx="11">
                  <c:v>0.76749999999999996</c:v>
                </c:pt>
                <c:pt idx="12">
                  <c:v>0.76749999999999996</c:v>
                </c:pt>
                <c:pt idx="13">
                  <c:v>0.76749999999999996</c:v>
                </c:pt>
                <c:pt idx="14">
                  <c:v>0.76749999999999996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CB-4296-AB5F-4148E6FAC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36044357"/>
        <c:axId val="46180725"/>
      </c:lineChart>
      <c:catAx>
        <c:axId val="360443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6180725"/>
        <c:crosses val="autoZero"/>
        <c:auto val="1"/>
        <c:lblAlgn val="ctr"/>
        <c:lblOffset val="100"/>
        <c:noMultiLvlLbl val="0"/>
      </c:catAx>
      <c:valAx>
        <c:axId val="461807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6044357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non_redundnat!$V$1</c:f>
              <c:strCache>
                <c:ptCount val="1"/>
                <c:pt idx="0">
                  <c:v>L’=L+1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non_redundnat!$U$2:$U$6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non_redundnat!$V$2:$V$6</c:f>
              <c:numCache>
                <c:formatCode>General</c:formatCode>
                <c:ptCount val="5"/>
                <c:pt idx="0">
                  <c:v>0.13</c:v>
                </c:pt>
                <c:pt idx="1">
                  <c:v>0.12</c:v>
                </c:pt>
                <c:pt idx="2">
                  <c:v>0.13</c:v>
                </c:pt>
                <c:pt idx="3">
                  <c:v>0.13</c:v>
                </c:pt>
                <c:pt idx="4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0-46E2-A012-F1A67BC16B39}"/>
            </c:ext>
          </c:extLst>
        </c:ser>
        <c:ser>
          <c:idx val="1"/>
          <c:order val="1"/>
          <c:tx>
            <c:strRef>
              <c:f>non_redundnat!$W$1</c:f>
              <c:strCache>
                <c:ptCount val="1"/>
                <c:pt idx="0">
                  <c:v>L’=L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non_redundnat!$U$2:$U$6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non_redundnat!$W$2:$W$6</c:f>
              <c:numCache>
                <c:formatCode>General</c:formatCode>
                <c:ptCount val="5"/>
                <c:pt idx="0">
                  <c:v>0.47</c:v>
                </c:pt>
                <c:pt idx="1">
                  <c:v>0.47</c:v>
                </c:pt>
                <c:pt idx="2">
                  <c:v>0.49</c:v>
                </c:pt>
                <c:pt idx="3">
                  <c:v>0.49</c:v>
                </c:pt>
                <c:pt idx="4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0-46E2-A012-F1A67BC16B39}"/>
            </c:ext>
          </c:extLst>
        </c:ser>
        <c:ser>
          <c:idx val="2"/>
          <c:order val="2"/>
          <c:tx>
            <c:strRef>
              <c:f>non_redundnat!$X$1</c:f>
              <c:strCache>
                <c:ptCount val="1"/>
                <c:pt idx="0">
                  <c:v>L’=L+1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non_redundnat!$U$2:$U$6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non_redundnat!$X$2:$X$6</c:f>
              <c:numCache>
                <c:formatCode>General</c:formatCode>
                <c:ptCount val="5"/>
                <c:pt idx="0">
                  <c:v>0.75</c:v>
                </c:pt>
                <c:pt idx="1">
                  <c:v>0.88</c:v>
                </c:pt>
                <c:pt idx="2">
                  <c:v>0.82</c:v>
                </c:pt>
                <c:pt idx="3">
                  <c:v>0.82</c:v>
                </c:pt>
                <c:pt idx="4">
                  <c:v>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A0-46E2-A012-F1A67BC16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7564930"/>
        <c:axId val="85602677"/>
      </c:barChart>
      <c:catAx>
        <c:axId val="375649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N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85602677"/>
        <c:crosses val="autoZero"/>
        <c:auto val="1"/>
        <c:lblAlgn val="ctr"/>
        <c:lblOffset val="100"/>
        <c:noMultiLvlLbl val="0"/>
      </c:catAx>
      <c:valAx>
        <c:axId val="8560267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Share Near-Field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37564930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transferTime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'RF 2'!$K$2</c:f>
              <c:strCache>
                <c:ptCount val="1"/>
                <c:pt idx="0">
                  <c:v>transferTime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'RF 2'!$A$3:$A$17</c:f>
              <c:numCache>
                <c:formatCode>General</c:formatCode>
                <c:ptCount val="15"/>
                <c:pt idx="0">
                  <c:v>65536</c:v>
                </c:pt>
                <c:pt idx="1">
                  <c:v>65536</c:v>
                </c:pt>
                <c:pt idx="2">
                  <c:v>65536</c:v>
                </c:pt>
                <c:pt idx="3">
                  <c:v>262144</c:v>
                </c:pt>
                <c:pt idx="4">
                  <c:v>262144</c:v>
                </c:pt>
                <c:pt idx="5">
                  <c:v>262144</c:v>
                </c:pt>
                <c:pt idx="6">
                  <c:v>1048576</c:v>
                </c:pt>
                <c:pt idx="7">
                  <c:v>1048576</c:v>
                </c:pt>
                <c:pt idx="8">
                  <c:v>1048576</c:v>
                </c:pt>
                <c:pt idx="9">
                  <c:v>4194304</c:v>
                </c:pt>
                <c:pt idx="10">
                  <c:v>4194304</c:v>
                </c:pt>
                <c:pt idx="11">
                  <c:v>4194304</c:v>
                </c:pt>
                <c:pt idx="12">
                  <c:v>16777216</c:v>
                </c:pt>
                <c:pt idx="13">
                  <c:v>16777216</c:v>
                </c:pt>
                <c:pt idx="14">
                  <c:v>16777216</c:v>
                </c:pt>
              </c:numCache>
            </c:numRef>
          </c:cat>
          <c:val>
            <c:numRef>
              <c:f>'RF 2'!$Q$3:$Q$17</c:f>
              <c:numCache>
                <c:formatCode>General</c:formatCode>
                <c:ptCount val="15"/>
                <c:pt idx="0">
                  <c:v>1.0610000000000001E-3</c:v>
                </c:pt>
                <c:pt idx="1">
                  <c:v>3.3880000000000004E-3</c:v>
                </c:pt>
                <c:pt idx="2">
                  <c:v>3.9536000000000002E-2</c:v>
                </c:pt>
                <c:pt idx="3">
                  <c:v>1.1789999999999999E-3</c:v>
                </c:pt>
                <c:pt idx="4">
                  <c:v>3.614E-3</c:v>
                </c:pt>
                <c:pt idx="5">
                  <c:v>3.9743999999999995E-2</c:v>
                </c:pt>
                <c:pt idx="6">
                  <c:v>2.356E-3</c:v>
                </c:pt>
                <c:pt idx="7">
                  <c:v>4.5909999999999996E-3</c:v>
                </c:pt>
                <c:pt idx="8">
                  <c:v>4.0799999999999996E-2</c:v>
                </c:pt>
                <c:pt idx="9">
                  <c:v>6.6059999999999999E-3</c:v>
                </c:pt>
                <c:pt idx="10">
                  <c:v>8.9969999999999998E-3</c:v>
                </c:pt>
                <c:pt idx="11">
                  <c:v>4.4850000000000001E-2</c:v>
                </c:pt>
                <c:pt idx="12">
                  <c:v>2.2452E-2</c:v>
                </c:pt>
                <c:pt idx="13">
                  <c:v>2.5172E-2</c:v>
                </c:pt>
                <c:pt idx="14">
                  <c:v>6.2912999999999997E-2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4-4269-B1A2-8A3DEBBA1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66751243"/>
        <c:axId val="60495854"/>
      </c:lineChart>
      <c:catAx>
        <c:axId val="667512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0495854"/>
        <c:crosses val="autoZero"/>
        <c:auto val="1"/>
        <c:lblAlgn val="ctr"/>
        <c:lblOffset val="100"/>
        <c:noMultiLvlLbl val="0"/>
      </c:catAx>
      <c:valAx>
        <c:axId val="6049585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6751243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nearFieldTime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'RF 2'!$I$2</c:f>
              <c:strCache>
                <c:ptCount val="1"/>
                <c:pt idx="0">
                  <c:v>nearFieldTime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'RF 2'!$A$3:$A$17</c:f>
              <c:numCache>
                <c:formatCode>General</c:formatCode>
                <c:ptCount val="15"/>
                <c:pt idx="0">
                  <c:v>65536</c:v>
                </c:pt>
                <c:pt idx="1">
                  <c:v>65536</c:v>
                </c:pt>
                <c:pt idx="2">
                  <c:v>65536</c:v>
                </c:pt>
                <c:pt idx="3">
                  <c:v>262144</c:v>
                </c:pt>
                <c:pt idx="4">
                  <c:v>262144</c:v>
                </c:pt>
                <c:pt idx="5">
                  <c:v>262144</c:v>
                </c:pt>
                <c:pt idx="6">
                  <c:v>1048576</c:v>
                </c:pt>
                <c:pt idx="7">
                  <c:v>1048576</c:v>
                </c:pt>
                <c:pt idx="8">
                  <c:v>1048576</c:v>
                </c:pt>
                <c:pt idx="9">
                  <c:v>4194304</c:v>
                </c:pt>
                <c:pt idx="10">
                  <c:v>4194304</c:v>
                </c:pt>
                <c:pt idx="11">
                  <c:v>4194304</c:v>
                </c:pt>
                <c:pt idx="12">
                  <c:v>16777216</c:v>
                </c:pt>
                <c:pt idx="13">
                  <c:v>16777216</c:v>
                </c:pt>
                <c:pt idx="14">
                  <c:v>16777216</c:v>
                </c:pt>
              </c:numCache>
            </c:numRef>
          </c:cat>
          <c:val>
            <c:numRef>
              <c:f>'RF 2'!$P$3:$P$17</c:f>
              <c:numCache>
                <c:formatCode>General</c:formatCode>
                <c:ptCount val="15"/>
                <c:pt idx="0">
                  <c:v>3.349E-3</c:v>
                </c:pt>
                <c:pt idx="1">
                  <c:v>1.771E-3</c:v>
                </c:pt>
                <c:pt idx="2">
                  <c:v>1.549E-3</c:v>
                </c:pt>
                <c:pt idx="3">
                  <c:v>1.3141E-2</c:v>
                </c:pt>
                <c:pt idx="4">
                  <c:v>7.3280000000000003E-3</c:v>
                </c:pt>
                <c:pt idx="5">
                  <c:v>5.0899999999999999E-3</c:v>
                </c:pt>
                <c:pt idx="6">
                  <c:v>4.9731999999999998E-2</c:v>
                </c:pt>
                <c:pt idx="7">
                  <c:v>2.6175E-2</c:v>
                </c:pt>
                <c:pt idx="8">
                  <c:v>1.8134000000000001E-2</c:v>
                </c:pt>
                <c:pt idx="9">
                  <c:v>0.187943</c:v>
                </c:pt>
                <c:pt idx="10">
                  <c:v>9.4932000000000002E-2</c:v>
                </c:pt>
                <c:pt idx="11">
                  <c:v>6.8485000000000004E-2</c:v>
                </c:pt>
                <c:pt idx="12">
                  <c:v>0.73867899999999997</c:v>
                </c:pt>
                <c:pt idx="13">
                  <c:v>0.37058799999999997</c:v>
                </c:pt>
                <c:pt idx="14">
                  <c:v>0.27711999999999998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CC-4C46-B18A-5D4E86119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51882203"/>
        <c:axId val="99507401"/>
      </c:lineChart>
      <c:catAx>
        <c:axId val="518822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9507401"/>
        <c:crosses val="autoZero"/>
        <c:auto val="1"/>
        <c:lblAlgn val="ctr"/>
        <c:lblOffset val="100"/>
        <c:noMultiLvlLbl val="0"/>
      </c:catAx>
      <c:valAx>
        <c:axId val="9950740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882203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computationTime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'RF 2'!$M$2</c:f>
              <c:strCache>
                <c:ptCount val="1"/>
                <c:pt idx="0">
                  <c:v>computationTime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'RF 2'!$D$3:$D$17</c:f>
              <c:numCache>
                <c:formatCode>General</c:formatCode>
                <c:ptCount val="15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16</c:v>
                </c:pt>
                <c:pt idx="4">
                  <c:v>64</c:v>
                </c:pt>
                <c:pt idx="5">
                  <c:v>256</c:v>
                </c:pt>
                <c:pt idx="6">
                  <c:v>16</c:v>
                </c:pt>
                <c:pt idx="7">
                  <c:v>64</c:v>
                </c:pt>
                <c:pt idx="8">
                  <c:v>256</c:v>
                </c:pt>
                <c:pt idx="9">
                  <c:v>16</c:v>
                </c:pt>
                <c:pt idx="10">
                  <c:v>64</c:v>
                </c:pt>
                <c:pt idx="11">
                  <c:v>256</c:v>
                </c:pt>
                <c:pt idx="12">
                  <c:v>16</c:v>
                </c:pt>
                <c:pt idx="13">
                  <c:v>64</c:v>
                </c:pt>
                <c:pt idx="14">
                  <c:v>256</c:v>
                </c:pt>
              </c:numCache>
            </c:numRef>
          </c:cat>
          <c:val>
            <c:numRef>
              <c:f>'RF 2'!$R$3:$R$17</c:f>
              <c:numCache>
                <c:formatCode>General</c:formatCode>
                <c:ptCount val="15"/>
                <c:pt idx="0">
                  <c:v>6.02E-4</c:v>
                </c:pt>
                <c:pt idx="1">
                  <c:v>2.3410000000000002E-3</c:v>
                </c:pt>
                <c:pt idx="2">
                  <c:v>9.1190000000000004E-3</c:v>
                </c:pt>
                <c:pt idx="3">
                  <c:v>2.232E-3</c:v>
                </c:pt>
                <c:pt idx="4">
                  <c:v>9.3620000000000005E-3</c:v>
                </c:pt>
                <c:pt idx="5">
                  <c:v>3.2666000000000001E-2</c:v>
                </c:pt>
                <c:pt idx="6">
                  <c:v>8.2070000000000008E-3</c:v>
                </c:pt>
                <c:pt idx="7">
                  <c:v>3.3652000000000001E-2</c:v>
                </c:pt>
                <c:pt idx="8">
                  <c:v>0.12207800000000001</c:v>
                </c:pt>
                <c:pt idx="9">
                  <c:v>3.0646E-2</c:v>
                </c:pt>
                <c:pt idx="10">
                  <c:v>0.122519</c:v>
                </c:pt>
                <c:pt idx="11">
                  <c:v>0.47260799999999997</c:v>
                </c:pt>
                <c:pt idx="12">
                  <c:v>0.120422</c:v>
                </c:pt>
                <c:pt idx="13">
                  <c:v>0.47752499999999998</c:v>
                </c:pt>
                <c:pt idx="14">
                  <c:v>1.90055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6-4422-B904-67F26ED5A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20079997"/>
        <c:axId val="70882005"/>
      </c:lineChart>
      <c:catAx>
        <c:axId val="200799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0882005"/>
        <c:crosses val="autoZero"/>
        <c:auto val="1"/>
        <c:lblAlgn val="ctr"/>
        <c:lblOffset val="100"/>
        <c:noMultiLvlLbl val="0"/>
      </c:catAx>
      <c:valAx>
        <c:axId val="7088200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0079997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'RF 2'!$S$2</c:f>
              <c:strCache>
                <c:ptCount val="1"/>
                <c:pt idx="0">
                  <c:v>Share NF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'RF 2'!$S$3:$S$17</c:f>
              <c:numCache>
                <c:formatCode>General</c:formatCode>
                <c:ptCount val="15"/>
                <c:pt idx="0">
                  <c:v>0.33</c:v>
                </c:pt>
                <c:pt idx="1">
                  <c:v>0.75</c:v>
                </c:pt>
                <c:pt idx="2">
                  <c:v>0.97</c:v>
                </c:pt>
                <c:pt idx="3">
                  <c:v>0.21</c:v>
                </c:pt>
                <c:pt idx="4">
                  <c:v>0.64</c:v>
                </c:pt>
                <c:pt idx="5">
                  <c:v>0.93</c:v>
                </c:pt>
                <c:pt idx="6">
                  <c:v>0.18</c:v>
                </c:pt>
                <c:pt idx="7">
                  <c:v>0.59</c:v>
                </c:pt>
                <c:pt idx="8">
                  <c:v>0.9</c:v>
                </c:pt>
                <c:pt idx="9">
                  <c:v>0.17</c:v>
                </c:pt>
                <c:pt idx="10">
                  <c:v>0.57999999999999996</c:v>
                </c:pt>
                <c:pt idx="11">
                  <c:v>0.88</c:v>
                </c:pt>
                <c:pt idx="12">
                  <c:v>0.16</c:v>
                </c:pt>
                <c:pt idx="13">
                  <c:v>0.57999999999999996</c:v>
                </c:pt>
                <c:pt idx="14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A-43F3-B4E1-028A8079C3E1}"/>
            </c:ext>
          </c:extLst>
        </c:ser>
        <c:ser>
          <c:idx val="1"/>
          <c:order val="1"/>
          <c:tx>
            <c:strRef>
              <c:f>'RF 2'!$T$2</c:f>
              <c:strCache>
                <c:ptCount val="1"/>
                <c:pt idx="0">
                  <c:v>Share FF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'RF 2'!$T$3:$T$17</c:f>
              <c:numCache>
                <c:formatCode>General</c:formatCode>
                <c:ptCount val="15"/>
                <c:pt idx="0">
                  <c:v>0.64</c:v>
                </c:pt>
                <c:pt idx="1">
                  <c:v>0.23</c:v>
                </c:pt>
                <c:pt idx="2">
                  <c:v>0.03</c:v>
                </c:pt>
                <c:pt idx="3">
                  <c:v>0.78</c:v>
                </c:pt>
                <c:pt idx="4">
                  <c:v>0.36</c:v>
                </c:pt>
                <c:pt idx="5">
                  <c:v>7.0000000000000007E-2</c:v>
                </c:pt>
                <c:pt idx="6">
                  <c:v>0.82</c:v>
                </c:pt>
                <c:pt idx="7">
                  <c:v>0.4</c:v>
                </c:pt>
                <c:pt idx="8">
                  <c:v>0.1</c:v>
                </c:pt>
                <c:pt idx="9">
                  <c:v>0.83</c:v>
                </c:pt>
                <c:pt idx="10">
                  <c:v>0.42</c:v>
                </c:pt>
                <c:pt idx="11">
                  <c:v>0.12</c:v>
                </c:pt>
                <c:pt idx="12">
                  <c:v>0.84</c:v>
                </c:pt>
                <c:pt idx="13">
                  <c:v>0.42</c:v>
                </c:pt>
                <c:pt idx="14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AA-43F3-B4E1-028A8079C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78882"/>
        <c:axId val="63996544"/>
      </c:barChart>
      <c:catAx>
        <c:axId val="143788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3996544"/>
        <c:crosses val="autoZero"/>
        <c:auto val="1"/>
        <c:lblAlgn val="ctr"/>
        <c:lblOffset val="100"/>
        <c:noMultiLvlLbl val="0"/>
      </c:catAx>
      <c:valAx>
        <c:axId val="639965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4378882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'RF 2'!$U$2</c:f>
              <c:strCache>
                <c:ptCount val="1"/>
                <c:pt idx="0">
                  <c:v>Share Transfer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'RF 2'!$U$3:$U$17</c:f>
              <c:numCache>
                <c:formatCode>General</c:formatCode>
                <c:ptCount val="15"/>
                <c:pt idx="0">
                  <c:v>0.61</c:v>
                </c:pt>
                <c:pt idx="1">
                  <c:v>0.57999999999999996</c:v>
                </c:pt>
                <c:pt idx="2">
                  <c:v>0.81</c:v>
                </c:pt>
                <c:pt idx="3">
                  <c:v>0.34</c:v>
                </c:pt>
                <c:pt idx="4">
                  <c:v>0.28000000000000003</c:v>
                </c:pt>
                <c:pt idx="5">
                  <c:v>0.55000000000000004</c:v>
                </c:pt>
                <c:pt idx="6">
                  <c:v>0.22</c:v>
                </c:pt>
                <c:pt idx="7">
                  <c:v>0.12</c:v>
                </c:pt>
                <c:pt idx="8">
                  <c:v>0.25</c:v>
                </c:pt>
                <c:pt idx="9">
                  <c:v>0.18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0.16</c:v>
                </c:pt>
                <c:pt idx="13">
                  <c:v>0.05</c:v>
                </c:pt>
                <c:pt idx="14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1-4CA7-AB1D-9A4FF57B8C66}"/>
            </c:ext>
          </c:extLst>
        </c:ser>
        <c:ser>
          <c:idx val="1"/>
          <c:order val="1"/>
          <c:tx>
            <c:strRef>
              <c:f>'RF 2'!$V$2</c:f>
              <c:strCache>
                <c:ptCount val="1"/>
                <c:pt idx="0">
                  <c:v>Share Computation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'RF 2'!$V$3:$V$17</c:f>
              <c:numCache>
                <c:formatCode>General</c:formatCode>
                <c:ptCount val="15"/>
                <c:pt idx="0">
                  <c:v>0.35</c:v>
                </c:pt>
                <c:pt idx="1">
                  <c:v>0.4</c:v>
                </c:pt>
                <c:pt idx="2">
                  <c:v>0.19</c:v>
                </c:pt>
                <c:pt idx="3">
                  <c:v>0.64</c:v>
                </c:pt>
                <c:pt idx="4">
                  <c:v>0.72</c:v>
                </c:pt>
                <c:pt idx="5">
                  <c:v>0.45</c:v>
                </c:pt>
                <c:pt idx="6">
                  <c:v>0.77</c:v>
                </c:pt>
                <c:pt idx="7">
                  <c:v>0.88</c:v>
                </c:pt>
                <c:pt idx="8">
                  <c:v>0.75</c:v>
                </c:pt>
                <c:pt idx="9">
                  <c:v>0.82</c:v>
                </c:pt>
                <c:pt idx="10">
                  <c:v>0.93</c:v>
                </c:pt>
                <c:pt idx="11">
                  <c:v>0.91</c:v>
                </c:pt>
                <c:pt idx="12">
                  <c:v>0.84</c:v>
                </c:pt>
                <c:pt idx="13">
                  <c:v>0.95</c:v>
                </c:pt>
                <c:pt idx="14">
                  <c:v>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61-4CA7-AB1D-9A4FF57B8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292804"/>
        <c:axId val="53045141"/>
      </c:barChart>
      <c:catAx>
        <c:axId val="302928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3045141"/>
        <c:crosses val="autoZero"/>
        <c:auto val="1"/>
        <c:lblAlgn val="ctr"/>
        <c:lblOffset val="100"/>
        <c:noMultiLvlLbl val="0"/>
      </c:catAx>
      <c:valAx>
        <c:axId val="530451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0292804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nearFieldTime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X!$F$1</c:f>
              <c:strCache>
                <c:ptCount val="1"/>
                <c:pt idx="0">
                  <c:v>nearFieldTime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X!$A$2:$A$16</c:f>
              <c:numCache>
                <c:formatCode>General</c:formatCode>
                <c:ptCount val="15"/>
                <c:pt idx="0">
                  <c:v>65536</c:v>
                </c:pt>
                <c:pt idx="1">
                  <c:v>65536</c:v>
                </c:pt>
                <c:pt idx="2">
                  <c:v>65536</c:v>
                </c:pt>
                <c:pt idx="3">
                  <c:v>262144</c:v>
                </c:pt>
                <c:pt idx="4">
                  <c:v>262144</c:v>
                </c:pt>
                <c:pt idx="5">
                  <c:v>262144</c:v>
                </c:pt>
                <c:pt idx="6">
                  <c:v>1048576</c:v>
                </c:pt>
                <c:pt idx="7">
                  <c:v>1048576</c:v>
                </c:pt>
                <c:pt idx="8">
                  <c:v>1048576</c:v>
                </c:pt>
                <c:pt idx="9">
                  <c:v>4194304</c:v>
                </c:pt>
                <c:pt idx="10">
                  <c:v>4194304</c:v>
                </c:pt>
                <c:pt idx="11">
                  <c:v>4194304</c:v>
                </c:pt>
                <c:pt idx="12">
                  <c:v>16777216</c:v>
                </c:pt>
                <c:pt idx="13">
                  <c:v>16777216</c:v>
                </c:pt>
                <c:pt idx="14">
                  <c:v>16777216</c:v>
                </c:pt>
              </c:numCache>
            </c:numRef>
          </c:cat>
          <c:val>
            <c:numRef>
              <c:f>X!$F$2:$F$16</c:f>
              <c:numCache>
                <c:formatCode>General</c:formatCode>
                <c:ptCount val="15"/>
                <c:pt idx="0">
                  <c:v>0.69</c:v>
                </c:pt>
                <c:pt idx="1">
                  <c:v>0.57999999999999996</c:v>
                </c:pt>
                <c:pt idx="2">
                  <c:v>0.23</c:v>
                </c:pt>
                <c:pt idx="3">
                  <c:v>0.85</c:v>
                </c:pt>
                <c:pt idx="4">
                  <c:v>0.76</c:v>
                </c:pt>
                <c:pt idx="5">
                  <c:v>0.5</c:v>
                </c:pt>
                <c:pt idx="6">
                  <c:v>1.1000000000000001</c:v>
                </c:pt>
                <c:pt idx="7">
                  <c:v>1.02</c:v>
                </c:pt>
                <c:pt idx="8">
                  <c:v>0.85</c:v>
                </c:pt>
                <c:pt idx="9">
                  <c:v>1.1200000000000001</c:v>
                </c:pt>
                <c:pt idx="10">
                  <c:v>1.08</c:v>
                </c:pt>
                <c:pt idx="11">
                  <c:v>1.05</c:v>
                </c:pt>
                <c:pt idx="12">
                  <c:v>1.18</c:v>
                </c:pt>
                <c:pt idx="13">
                  <c:v>1.1100000000000001</c:v>
                </c:pt>
                <c:pt idx="14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0F-42B9-84D2-859D19E18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75190792"/>
        <c:axId val="19214004"/>
      </c:lineChart>
      <c:catAx>
        <c:axId val="75190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9214004"/>
        <c:crosses val="autoZero"/>
        <c:auto val="1"/>
        <c:lblAlgn val="ctr"/>
        <c:lblOffset val="100"/>
        <c:noMultiLvlLbl val="0"/>
      </c:catAx>
      <c:valAx>
        <c:axId val="192140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5190792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computationTime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X!$I$1</c:f>
              <c:strCache>
                <c:ptCount val="1"/>
                <c:pt idx="0">
                  <c:v>computationTime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X!$A$2:$A$16</c:f>
              <c:numCache>
                <c:formatCode>General</c:formatCode>
                <c:ptCount val="15"/>
                <c:pt idx="0">
                  <c:v>65536</c:v>
                </c:pt>
                <c:pt idx="1">
                  <c:v>65536</c:v>
                </c:pt>
                <c:pt idx="2">
                  <c:v>65536</c:v>
                </c:pt>
                <c:pt idx="3">
                  <c:v>262144</c:v>
                </c:pt>
                <c:pt idx="4">
                  <c:v>262144</c:v>
                </c:pt>
                <c:pt idx="5">
                  <c:v>262144</c:v>
                </c:pt>
                <c:pt idx="6">
                  <c:v>1048576</c:v>
                </c:pt>
                <c:pt idx="7">
                  <c:v>1048576</c:v>
                </c:pt>
                <c:pt idx="8">
                  <c:v>1048576</c:v>
                </c:pt>
                <c:pt idx="9">
                  <c:v>4194304</c:v>
                </c:pt>
                <c:pt idx="10">
                  <c:v>4194304</c:v>
                </c:pt>
                <c:pt idx="11">
                  <c:v>4194304</c:v>
                </c:pt>
                <c:pt idx="12">
                  <c:v>16777216</c:v>
                </c:pt>
                <c:pt idx="13">
                  <c:v>16777216</c:v>
                </c:pt>
                <c:pt idx="14">
                  <c:v>16777216</c:v>
                </c:pt>
              </c:numCache>
            </c:numRef>
          </c:cat>
          <c:val>
            <c:numRef>
              <c:f>X!$I$2:$I$16</c:f>
              <c:numCache>
                <c:formatCode>General</c:formatCode>
                <c:ptCount val="15"/>
                <c:pt idx="0">
                  <c:v>1.31</c:v>
                </c:pt>
                <c:pt idx="1">
                  <c:v>1.3</c:v>
                </c:pt>
                <c:pt idx="2">
                  <c:v>1.2</c:v>
                </c:pt>
                <c:pt idx="3">
                  <c:v>0.96</c:v>
                </c:pt>
                <c:pt idx="4">
                  <c:v>0.98</c:v>
                </c:pt>
                <c:pt idx="5">
                  <c:v>1.0900000000000001</c:v>
                </c:pt>
                <c:pt idx="6">
                  <c:v>1.1299999999999999</c:v>
                </c:pt>
                <c:pt idx="7">
                  <c:v>1.0900000000000001</c:v>
                </c:pt>
                <c:pt idx="8">
                  <c:v>1.1200000000000001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1.1299999999999999</c:v>
                </c:pt>
                <c:pt idx="12">
                  <c:v>1.1000000000000001</c:v>
                </c:pt>
                <c:pt idx="13">
                  <c:v>1.1000000000000001</c:v>
                </c:pt>
                <c:pt idx="14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C5-4F89-B0A1-666F011C6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41949987"/>
        <c:axId val="91790836"/>
      </c:lineChart>
      <c:catAx>
        <c:axId val="419499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1790836"/>
        <c:crosses val="autoZero"/>
        <c:auto val="1"/>
        <c:lblAlgn val="ctr"/>
        <c:lblOffset val="100"/>
        <c:noMultiLvlLbl val="0"/>
      </c:catAx>
      <c:valAx>
        <c:axId val="917908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49987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MLFMA_time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X!$E$1</c:f>
              <c:strCache>
                <c:ptCount val="1"/>
                <c:pt idx="0">
                  <c:v>MLFMA_time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X!$A$2:$A$16</c:f>
              <c:numCache>
                <c:formatCode>General</c:formatCode>
                <c:ptCount val="15"/>
                <c:pt idx="0">
                  <c:v>65536</c:v>
                </c:pt>
                <c:pt idx="1">
                  <c:v>65536</c:v>
                </c:pt>
                <c:pt idx="2">
                  <c:v>65536</c:v>
                </c:pt>
                <c:pt idx="3">
                  <c:v>262144</c:v>
                </c:pt>
                <c:pt idx="4">
                  <c:v>262144</c:v>
                </c:pt>
                <c:pt idx="5">
                  <c:v>262144</c:v>
                </c:pt>
                <c:pt idx="6">
                  <c:v>1048576</c:v>
                </c:pt>
                <c:pt idx="7">
                  <c:v>1048576</c:v>
                </c:pt>
                <c:pt idx="8">
                  <c:v>1048576</c:v>
                </c:pt>
                <c:pt idx="9">
                  <c:v>4194304</c:v>
                </c:pt>
                <c:pt idx="10">
                  <c:v>4194304</c:v>
                </c:pt>
                <c:pt idx="11">
                  <c:v>4194304</c:v>
                </c:pt>
                <c:pt idx="12">
                  <c:v>16777216</c:v>
                </c:pt>
                <c:pt idx="13">
                  <c:v>16777216</c:v>
                </c:pt>
                <c:pt idx="14">
                  <c:v>16777216</c:v>
                </c:pt>
              </c:numCache>
            </c:numRef>
          </c:cat>
          <c:val>
            <c:numRef>
              <c:f>X!$E$2:$E$16</c:f>
              <c:numCache>
                <c:formatCode>General</c:formatCode>
                <c:ptCount val="15"/>
                <c:pt idx="0">
                  <c:v>0.95</c:v>
                </c:pt>
                <c:pt idx="1">
                  <c:v>0.68</c:v>
                </c:pt>
                <c:pt idx="2">
                  <c:v>0.26</c:v>
                </c:pt>
                <c:pt idx="3">
                  <c:v>0.87</c:v>
                </c:pt>
                <c:pt idx="4">
                  <c:v>0.79</c:v>
                </c:pt>
                <c:pt idx="5">
                  <c:v>0.53</c:v>
                </c:pt>
                <c:pt idx="6">
                  <c:v>1.05</c:v>
                </c:pt>
                <c:pt idx="7">
                  <c:v>1</c:v>
                </c:pt>
                <c:pt idx="8">
                  <c:v>0.86</c:v>
                </c:pt>
                <c:pt idx="9">
                  <c:v>1.02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1.06</c:v>
                </c:pt>
                <c:pt idx="14">
                  <c:v>1.0900000000000001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B6-4F37-90B3-2BC2C5CDD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26772286"/>
        <c:axId val="16142083"/>
      </c:lineChart>
      <c:catAx>
        <c:axId val="267722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6142083"/>
        <c:crosses val="autoZero"/>
        <c:auto val="1"/>
        <c:lblAlgn val="ctr"/>
        <c:lblOffset val="100"/>
        <c:noMultiLvlLbl val="0"/>
      </c:catAx>
      <c:valAx>
        <c:axId val="161420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6772286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transferTime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X!$H$1</c:f>
              <c:strCache>
                <c:ptCount val="1"/>
                <c:pt idx="0">
                  <c:v>transferTime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X!$H$2:$H$16</c:f>
              <c:numCache>
                <c:formatCode>General</c:formatCode>
                <c:ptCount val="15"/>
                <c:pt idx="0">
                  <c:v>0.32</c:v>
                </c:pt>
                <c:pt idx="1">
                  <c:v>0.08</c:v>
                </c:pt>
                <c:pt idx="2">
                  <c:v>0.01</c:v>
                </c:pt>
                <c:pt idx="3">
                  <c:v>0.62</c:v>
                </c:pt>
                <c:pt idx="4">
                  <c:v>0.2</c:v>
                </c:pt>
                <c:pt idx="5">
                  <c:v>0.02</c:v>
                </c:pt>
                <c:pt idx="6">
                  <c:v>0.97</c:v>
                </c:pt>
                <c:pt idx="7">
                  <c:v>0.49</c:v>
                </c:pt>
                <c:pt idx="8">
                  <c:v>0.05</c:v>
                </c:pt>
                <c:pt idx="9">
                  <c:v>1.28</c:v>
                </c:pt>
                <c:pt idx="10">
                  <c:v>0.92</c:v>
                </c:pt>
                <c:pt idx="11">
                  <c:v>0.21</c:v>
                </c:pt>
                <c:pt idx="12">
                  <c:v>1.6</c:v>
                </c:pt>
                <c:pt idx="13">
                  <c:v>1.29</c:v>
                </c:pt>
                <c:pt idx="14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C-4DFC-9E4C-261DFBA5B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43101874"/>
        <c:axId val="37888208"/>
      </c:lineChart>
      <c:catAx>
        <c:axId val="431018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7888208"/>
        <c:crosses val="autoZero"/>
        <c:auto val="1"/>
        <c:lblAlgn val="ctr"/>
        <c:lblOffset val="100"/>
        <c:noMultiLvlLbl val="0"/>
      </c:catAx>
      <c:valAx>
        <c:axId val="378882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3101874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non_redundnat!$G$1</c:f>
              <c:strCache>
                <c:ptCount val="1"/>
                <c:pt idx="0">
                  <c:v>nearFieldTime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non_redundnat!$G$2:$G$16</c:f>
              <c:numCache>
                <c:formatCode>General</c:formatCode>
                <c:ptCount val="15"/>
                <c:pt idx="0">
                  <c:v>8.6499999999999999E-4</c:v>
                </c:pt>
                <c:pt idx="1">
                  <c:v>3.0969999999999999E-3</c:v>
                </c:pt>
                <c:pt idx="2">
                  <c:v>1.099E-2</c:v>
                </c:pt>
                <c:pt idx="3">
                  <c:v>2.2179999999999999E-3</c:v>
                </c:pt>
                <c:pt idx="4">
                  <c:v>9.2230000000000003E-3</c:v>
                </c:pt>
                <c:pt idx="5">
                  <c:v>3.569E-2</c:v>
                </c:pt>
                <c:pt idx="6">
                  <c:v>9.3749999999999997E-3</c:v>
                </c:pt>
                <c:pt idx="7">
                  <c:v>3.6749999999999998E-2</c:v>
                </c:pt>
                <c:pt idx="8">
                  <c:v>0.13630500000000001</c:v>
                </c:pt>
                <c:pt idx="9">
                  <c:v>3.3513000000000001E-2</c:v>
                </c:pt>
                <c:pt idx="10">
                  <c:v>0.13433100000000001</c:v>
                </c:pt>
                <c:pt idx="11">
                  <c:v>0.53222800000000003</c:v>
                </c:pt>
                <c:pt idx="12">
                  <c:v>0.13233900000000001</c:v>
                </c:pt>
                <c:pt idx="13">
                  <c:v>0.52680199999999999</c:v>
                </c:pt>
                <c:pt idx="14">
                  <c:v>2.1371380000000002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8-4CDA-AE60-B117D97059EF}"/>
            </c:ext>
          </c:extLst>
        </c:ser>
        <c:ser>
          <c:idx val="1"/>
          <c:order val="1"/>
          <c:tx>
            <c:strRef>
              <c:f>non_redundnat!$H$1</c:f>
              <c:strCache>
                <c:ptCount val="1"/>
                <c:pt idx="0">
                  <c:v>farFieldTime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non_redundnat!$H$2:$H$16</c:f>
              <c:numCache>
                <c:formatCode>General</c:formatCode>
                <c:ptCount val="15"/>
                <c:pt idx="0">
                  <c:v>3.7889999999999998E-3</c:v>
                </c:pt>
                <c:pt idx="1">
                  <c:v>1.8619999999999999E-3</c:v>
                </c:pt>
                <c:pt idx="2">
                  <c:v>1.542E-3</c:v>
                </c:pt>
                <c:pt idx="3">
                  <c:v>1.1639999999999999E-2</c:v>
                </c:pt>
                <c:pt idx="4">
                  <c:v>6.2659999999999999E-3</c:v>
                </c:pt>
                <c:pt idx="5">
                  <c:v>4.7549999999999997E-3</c:v>
                </c:pt>
                <c:pt idx="6">
                  <c:v>5.1785999999999999E-2</c:v>
                </c:pt>
                <c:pt idx="7">
                  <c:v>2.579E-2</c:v>
                </c:pt>
                <c:pt idx="8">
                  <c:v>1.7829999999999999E-2</c:v>
                </c:pt>
                <c:pt idx="9">
                  <c:v>0.18731500000000001</c:v>
                </c:pt>
                <c:pt idx="10">
                  <c:v>9.3898999999999996E-2</c:v>
                </c:pt>
                <c:pt idx="11">
                  <c:v>6.9223999999999994E-2</c:v>
                </c:pt>
                <c:pt idx="12">
                  <c:v>0.752471</c:v>
                </c:pt>
                <c:pt idx="13">
                  <c:v>0.37046200000000001</c:v>
                </c:pt>
                <c:pt idx="14">
                  <c:v>0.27735399999999999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68-4CDA-AE60-B117D97059EF}"/>
            </c:ext>
          </c:extLst>
        </c:ser>
        <c:ser>
          <c:idx val="2"/>
          <c:order val="2"/>
          <c:tx>
            <c:strRef>
              <c:f>non_redundnat!$I$1</c:f>
              <c:strCache>
                <c:ptCount val="1"/>
                <c:pt idx="0">
                  <c:v>transferTime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non_redundnat!$I$2:$I$16</c:f>
              <c:numCache>
                <c:formatCode>General</c:formatCode>
                <c:ptCount val="15"/>
                <c:pt idx="0">
                  <c:v>3.3700000000000001E-4</c:v>
                </c:pt>
                <c:pt idx="1">
                  <c:v>2.8299999999999999E-4</c:v>
                </c:pt>
                <c:pt idx="2">
                  <c:v>3.59E-4</c:v>
                </c:pt>
                <c:pt idx="3">
                  <c:v>7.36E-4</c:v>
                </c:pt>
                <c:pt idx="4">
                  <c:v>7.3200000000000001E-4</c:v>
                </c:pt>
                <c:pt idx="5">
                  <c:v>7.5199999999999996E-4</c:v>
                </c:pt>
                <c:pt idx="6">
                  <c:v>2.281E-3</c:v>
                </c:pt>
                <c:pt idx="7">
                  <c:v>2.2669999999999999E-3</c:v>
                </c:pt>
                <c:pt idx="8">
                  <c:v>2.2269999999999998E-3</c:v>
                </c:pt>
                <c:pt idx="9">
                  <c:v>8.4489999999999999E-3</c:v>
                </c:pt>
                <c:pt idx="10">
                  <c:v>8.319E-3</c:v>
                </c:pt>
                <c:pt idx="11">
                  <c:v>9.5670000000000009E-3</c:v>
                </c:pt>
                <c:pt idx="12">
                  <c:v>3.6028999999999999E-2</c:v>
                </c:pt>
                <c:pt idx="13">
                  <c:v>3.2583000000000001E-2</c:v>
                </c:pt>
                <c:pt idx="14">
                  <c:v>3.4201000000000002E-2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68-4CDA-AE60-B117D9705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906503"/>
        <c:axId val="65620524"/>
      </c:barChart>
      <c:catAx>
        <c:axId val="39906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5620524"/>
        <c:crosses val="autoZero"/>
        <c:auto val="1"/>
        <c:lblAlgn val="ctr"/>
        <c:lblOffset val="100"/>
        <c:noMultiLvlLbl val="0"/>
      </c:catAx>
      <c:valAx>
        <c:axId val="6562052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9906503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'RF 2'!$I$2</c:f>
              <c:strCache>
                <c:ptCount val="1"/>
                <c:pt idx="0">
                  <c:v>nearFieldTime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'RF 2'!$I$3:$I$17</c:f>
              <c:numCache>
                <c:formatCode>General</c:formatCode>
                <c:ptCount val="15"/>
                <c:pt idx="0">
                  <c:v>6.7500000000000004E-4</c:v>
                </c:pt>
                <c:pt idx="1">
                  <c:v>2.4190000000000001E-3</c:v>
                </c:pt>
                <c:pt idx="2">
                  <c:v>9.2029999999999994E-3</c:v>
                </c:pt>
                <c:pt idx="3">
                  <c:v>2.3050000000000002E-3</c:v>
                </c:pt>
                <c:pt idx="4">
                  <c:v>9.4369999999999992E-3</c:v>
                </c:pt>
                <c:pt idx="5">
                  <c:v>3.2751000000000002E-2</c:v>
                </c:pt>
                <c:pt idx="6">
                  <c:v>8.2839999999999997E-3</c:v>
                </c:pt>
                <c:pt idx="7">
                  <c:v>3.3736000000000002E-2</c:v>
                </c:pt>
                <c:pt idx="8">
                  <c:v>0.122173</c:v>
                </c:pt>
                <c:pt idx="9">
                  <c:v>3.0728999999999999E-2</c:v>
                </c:pt>
                <c:pt idx="10">
                  <c:v>0.12260799999999999</c:v>
                </c:pt>
                <c:pt idx="11">
                  <c:v>0.47270600000000002</c:v>
                </c:pt>
                <c:pt idx="12">
                  <c:v>0.120502</c:v>
                </c:pt>
                <c:pt idx="13">
                  <c:v>0.47761900000000002</c:v>
                </c:pt>
                <c:pt idx="14">
                  <c:v>1.9006479999999999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F-4C04-A8A0-1CBCDC52C853}"/>
            </c:ext>
          </c:extLst>
        </c:ser>
        <c:ser>
          <c:idx val="1"/>
          <c:order val="1"/>
          <c:tx>
            <c:strRef>
              <c:f>'RF 2'!$J$2</c:f>
              <c:strCache>
                <c:ptCount val="1"/>
                <c:pt idx="0">
                  <c:v>farFieldTime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'RF 2'!$J$3:$J$17</c:f>
              <c:numCache>
                <c:formatCode>General</c:formatCode>
                <c:ptCount val="15"/>
                <c:pt idx="0">
                  <c:v>3.349E-3</c:v>
                </c:pt>
                <c:pt idx="1">
                  <c:v>1.771E-3</c:v>
                </c:pt>
                <c:pt idx="2">
                  <c:v>1.549E-3</c:v>
                </c:pt>
                <c:pt idx="3">
                  <c:v>1.3141E-2</c:v>
                </c:pt>
                <c:pt idx="4">
                  <c:v>7.3280000000000003E-3</c:v>
                </c:pt>
                <c:pt idx="5">
                  <c:v>5.0899999999999999E-3</c:v>
                </c:pt>
                <c:pt idx="6">
                  <c:v>4.9731999999999998E-2</c:v>
                </c:pt>
                <c:pt idx="7">
                  <c:v>2.6175E-2</c:v>
                </c:pt>
                <c:pt idx="8">
                  <c:v>1.8134000000000001E-2</c:v>
                </c:pt>
                <c:pt idx="9">
                  <c:v>0.187943</c:v>
                </c:pt>
                <c:pt idx="10">
                  <c:v>9.4932000000000002E-2</c:v>
                </c:pt>
                <c:pt idx="11">
                  <c:v>6.8485000000000004E-2</c:v>
                </c:pt>
                <c:pt idx="12">
                  <c:v>0.73867899999999997</c:v>
                </c:pt>
                <c:pt idx="13">
                  <c:v>0.37058799999999997</c:v>
                </c:pt>
                <c:pt idx="14">
                  <c:v>0.27711999999999998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DF-4C04-A8A0-1CBCDC52C853}"/>
            </c:ext>
          </c:extLst>
        </c:ser>
        <c:ser>
          <c:idx val="2"/>
          <c:order val="2"/>
          <c:tx>
            <c:strRef>
              <c:f>'RF 2'!$K$2</c:f>
              <c:strCache>
                <c:ptCount val="1"/>
                <c:pt idx="0">
                  <c:v>transferTime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'RF 2'!$K$3:$K$17</c:f>
              <c:numCache>
                <c:formatCode>General</c:formatCode>
                <c:ptCount val="15"/>
                <c:pt idx="0">
                  <c:v>2.0699999999999999E-4</c:v>
                </c:pt>
                <c:pt idx="1">
                  <c:v>2.14E-4</c:v>
                </c:pt>
                <c:pt idx="2">
                  <c:v>2.14E-4</c:v>
                </c:pt>
                <c:pt idx="3">
                  <c:v>4.7199999999999998E-4</c:v>
                </c:pt>
                <c:pt idx="4">
                  <c:v>4.84E-4</c:v>
                </c:pt>
                <c:pt idx="5">
                  <c:v>5.2499999999999997E-4</c:v>
                </c:pt>
                <c:pt idx="6">
                  <c:v>1.537E-3</c:v>
                </c:pt>
                <c:pt idx="7">
                  <c:v>1.519E-3</c:v>
                </c:pt>
                <c:pt idx="8">
                  <c:v>1.5169999999999999E-3</c:v>
                </c:pt>
                <c:pt idx="9">
                  <c:v>5.7520000000000002E-3</c:v>
                </c:pt>
                <c:pt idx="10">
                  <c:v>5.842E-3</c:v>
                </c:pt>
                <c:pt idx="11">
                  <c:v>5.679E-3</c:v>
                </c:pt>
                <c:pt idx="12">
                  <c:v>2.1632999999999999E-2</c:v>
                </c:pt>
                <c:pt idx="13">
                  <c:v>2.2039E-2</c:v>
                </c:pt>
                <c:pt idx="14">
                  <c:v>2.3616999999999999E-2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DF-4C04-A8A0-1CBCDC52C853}"/>
            </c:ext>
          </c:extLst>
        </c:ser>
        <c:ser>
          <c:idx val="3"/>
          <c:order val="3"/>
          <c:tx>
            <c:strRef>
              <c:f>'RF 2'!$L$2</c:f>
              <c:strCache>
                <c:ptCount val="1"/>
                <c:pt idx="0">
                  <c:v>duplicationTime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'RF 2'!$L$3:$L$17</c:f>
              <c:numCache>
                <c:formatCode>General</c:formatCode>
                <c:ptCount val="15"/>
                <c:pt idx="0">
                  <c:v>8.5400000000000005E-4</c:v>
                </c:pt>
                <c:pt idx="1">
                  <c:v>3.1740000000000002E-3</c:v>
                </c:pt>
                <c:pt idx="2">
                  <c:v>3.9322000000000003E-2</c:v>
                </c:pt>
                <c:pt idx="3">
                  <c:v>7.0699999999999995E-4</c:v>
                </c:pt>
                <c:pt idx="4">
                  <c:v>3.13E-3</c:v>
                </c:pt>
                <c:pt idx="5">
                  <c:v>3.9218999999999997E-2</c:v>
                </c:pt>
                <c:pt idx="6">
                  <c:v>8.1899999999999996E-4</c:v>
                </c:pt>
                <c:pt idx="7">
                  <c:v>3.0720000000000001E-3</c:v>
                </c:pt>
                <c:pt idx="8">
                  <c:v>3.9282999999999998E-2</c:v>
                </c:pt>
                <c:pt idx="9">
                  <c:v>8.5400000000000005E-4</c:v>
                </c:pt>
                <c:pt idx="10">
                  <c:v>3.1549999999999998E-3</c:v>
                </c:pt>
                <c:pt idx="11">
                  <c:v>3.9170999999999997E-2</c:v>
                </c:pt>
                <c:pt idx="12">
                  <c:v>8.1899999999999996E-4</c:v>
                </c:pt>
                <c:pt idx="13">
                  <c:v>3.1329999999999999E-3</c:v>
                </c:pt>
                <c:pt idx="14">
                  <c:v>3.9295999999999998E-2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DF-4C04-A8A0-1CBCDC52C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372162"/>
        <c:axId val="16997865"/>
      </c:barChart>
      <c:catAx>
        <c:axId val="9137216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6997865"/>
        <c:crosses val="autoZero"/>
        <c:auto val="1"/>
        <c:lblAlgn val="ctr"/>
        <c:lblOffset val="100"/>
        <c:noMultiLvlLbl val="0"/>
      </c:catAx>
      <c:valAx>
        <c:axId val="1699786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1372162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X!$H$1</c:f>
              <c:strCache>
                <c:ptCount val="1"/>
                <c:pt idx="0">
                  <c:v>transferTime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X!$A$2:$A$16</c:f>
              <c:numCache>
                <c:formatCode>General</c:formatCode>
                <c:ptCount val="15"/>
                <c:pt idx="0">
                  <c:v>65536</c:v>
                </c:pt>
                <c:pt idx="1">
                  <c:v>65536</c:v>
                </c:pt>
                <c:pt idx="2">
                  <c:v>65536</c:v>
                </c:pt>
                <c:pt idx="3">
                  <c:v>262144</c:v>
                </c:pt>
                <c:pt idx="4">
                  <c:v>262144</c:v>
                </c:pt>
                <c:pt idx="5">
                  <c:v>262144</c:v>
                </c:pt>
                <c:pt idx="6">
                  <c:v>1048576</c:v>
                </c:pt>
                <c:pt idx="7">
                  <c:v>1048576</c:v>
                </c:pt>
                <c:pt idx="8">
                  <c:v>1048576</c:v>
                </c:pt>
                <c:pt idx="9">
                  <c:v>4194304</c:v>
                </c:pt>
                <c:pt idx="10">
                  <c:v>4194304</c:v>
                </c:pt>
                <c:pt idx="11">
                  <c:v>4194304</c:v>
                </c:pt>
                <c:pt idx="12">
                  <c:v>16777216</c:v>
                </c:pt>
                <c:pt idx="13">
                  <c:v>16777216</c:v>
                </c:pt>
                <c:pt idx="14">
                  <c:v>16777216</c:v>
                </c:pt>
              </c:numCache>
            </c:numRef>
          </c:cat>
          <c:val>
            <c:numRef>
              <c:f>X!$H$2:$H$16</c:f>
              <c:numCache>
                <c:formatCode>General</c:formatCode>
                <c:ptCount val="15"/>
                <c:pt idx="0">
                  <c:v>0.32</c:v>
                </c:pt>
                <c:pt idx="1">
                  <c:v>0.08</c:v>
                </c:pt>
                <c:pt idx="2">
                  <c:v>0.01</c:v>
                </c:pt>
                <c:pt idx="3">
                  <c:v>0.62</c:v>
                </c:pt>
                <c:pt idx="4">
                  <c:v>0.2</c:v>
                </c:pt>
                <c:pt idx="5">
                  <c:v>0.02</c:v>
                </c:pt>
                <c:pt idx="6">
                  <c:v>0.97</c:v>
                </c:pt>
                <c:pt idx="7">
                  <c:v>0.49</c:v>
                </c:pt>
                <c:pt idx="8">
                  <c:v>0.05</c:v>
                </c:pt>
                <c:pt idx="9">
                  <c:v>1.28</c:v>
                </c:pt>
                <c:pt idx="10">
                  <c:v>0.92</c:v>
                </c:pt>
                <c:pt idx="11">
                  <c:v>0.21</c:v>
                </c:pt>
                <c:pt idx="12">
                  <c:v>1.6</c:v>
                </c:pt>
                <c:pt idx="13">
                  <c:v>1.29</c:v>
                </c:pt>
                <c:pt idx="14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5-4E15-A560-B39C39801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marker val="1"/>
        <c:smooth val="0"/>
        <c:axId val="84688046"/>
        <c:axId val="94254629"/>
      </c:lineChart>
      <c:lineChart>
        <c:grouping val="standard"/>
        <c:varyColors val="0"/>
        <c:ser>
          <c:idx val="1"/>
          <c:order val="1"/>
          <c:tx>
            <c:strRef>
              <c:f>'X transfer'!$B$3</c:f>
              <c:strCache>
                <c:ptCount val="1"/>
                <c:pt idx="0">
                  <c:v>pred transfer</c:v>
                </c:pt>
              </c:strCache>
            </c:strRef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X!$A$2:$A$16</c:f>
              <c:numCache>
                <c:formatCode>General</c:formatCode>
                <c:ptCount val="15"/>
                <c:pt idx="0">
                  <c:v>65536</c:v>
                </c:pt>
                <c:pt idx="1">
                  <c:v>65536</c:v>
                </c:pt>
                <c:pt idx="2">
                  <c:v>65536</c:v>
                </c:pt>
                <c:pt idx="3">
                  <c:v>262144</c:v>
                </c:pt>
                <c:pt idx="4">
                  <c:v>262144</c:v>
                </c:pt>
                <c:pt idx="5">
                  <c:v>262144</c:v>
                </c:pt>
                <c:pt idx="6">
                  <c:v>1048576</c:v>
                </c:pt>
                <c:pt idx="7">
                  <c:v>1048576</c:v>
                </c:pt>
                <c:pt idx="8">
                  <c:v>1048576</c:v>
                </c:pt>
                <c:pt idx="9">
                  <c:v>4194304</c:v>
                </c:pt>
                <c:pt idx="10">
                  <c:v>4194304</c:v>
                </c:pt>
                <c:pt idx="11">
                  <c:v>4194304</c:v>
                </c:pt>
                <c:pt idx="12">
                  <c:v>16777216</c:v>
                </c:pt>
                <c:pt idx="13">
                  <c:v>16777216</c:v>
                </c:pt>
                <c:pt idx="14">
                  <c:v>16777216</c:v>
                </c:pt>
              </c:numCache>
            </c:numRef>
          </c:cat>
          <c:val>
            <c:numRef>
              <c:f>'X transfer'!$E$4:$E$18</c:f>
              <c:numCache>
                <c:formatCode>General</c:formatCode>
                <c:ptCount val="15"/>
                <c:pt idx="0">
                  <c:v>0.96603773584905661</c:v>
                </c:pt>
                <c:pt idx="1">
                  <c:v>0.64</c:v>
                </c:pt>
                <c:pt idx="2">
                  <c:v>0.1</c:v>
                </c:pt>
                <c:pt idx="3">
                  <c:v>0.99128751210067767</c:v>
                </c:pt>
                <c:pt idx="4">
                  <c:v>0.87671232876712324</c:v>
                </c:pt>
                <c:pt idx="5">
                  <c:v>0.30769230769230771</c:v>
                </c:pt>
                <c:pt idx="6">
                  <c:v>0.99780755176613889</c:v>
                </c:pt>
                <c:pt idx="7">
                  <c:v>0.96603773584905661</c:v>
                </c:pt>
                <c:pt idx="8">
                  <c:v>0.64</c:v>
                </c:pt>
                <c:pt idx="9">
                  <c:v>0.9994509851765998</c:v>
                </c:pt>
                <c:pt idx="10">
                  <c:v>0.99128751210067767</c:v>
                </c:pt>
                <c:pt idx="11">
                  <c:v>0.87671232876712324</c:v>
                </c:pt>
                <c:pt idx="12">
                  <c:v>0.99986268975513004</c:v>
                </c:pt>
                <c:pt idx="13">
                  <c:v>0.99780755176613889</c:v>
                </c:pt>
                <c:pt idx="14">
                  <c:v>0.96603773584905661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25-4E15-A560-B39C39801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marker val="1"/>
        <c:smooth val="0"/>
        <c:axId val="99228794"/>
        <c:axId val="20806029"/>
      </c:lineChart>
      <c:catAx>
        <c:axId val="846880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4254629"/>
        <c:crosses val="autoZero"/>
        <c:auto val="1"/>
        <c:lblAlgn val="ctr"/>
        <c:lblOffset val="100"/>
        <c:noMultiLvlLbl val="0"/>
      </c:catAx>
      <c:valAx>
        <c:axId val="942546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4688046"/>
        <c:crosses val="autoZero"/>
        <c:crossBetween val="midCat"/>
      </c:valAx>
      <c:catAx>
        <c:axId val="9922879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06029"/>
        <c:crosses val="autoZero"/>
        <c:auto val="1"/>
        <c:lblAlgn val="ctr"/>
        <c:lblOffset val="100"/>
        <c:noMultiLvlLbl val="0"/>
      </c:catAx>
      <c:valAx>
        <c:axId val="20806029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9228794"/>
        <c:crosses val="max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'X transfer'!$D$23</c:f>
              <c:strCache>
                <c:ptCount val="1"/>
                <c:pt idx="0">
                  <c:v>256</c:v>
                </c:pt>
              </c:strCache>
            </c:strRef>
          </c:tx>
          <c:spPr>
            <a:ln w="1908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'X transfer'!$A$22:$A$26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xVal>
          <c:yVal>
            <c:numRef>
              <c:f>'X transfer'!$E$22:$E$26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0.05</c:v>
                </c:pt>
                <c:pt idx="3">
                  <c:v>0.21</c:v>
                </c:pt>
                <c:pt idx="4">
                  <c:v>0.54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88-4BD2-BD50-C7FC299F74B5}"/>
            </c:ext>
          </c:extLst>
        </c:ser>
        <c:ser>
          <c:idx val="1"/>
          <c:order val="1"/>
          <c:tx>
            <c:strRef>
              <c:f>'X transfer'!$D$28</c:f>
              <c:strCache>
                <c:ptCount val="1"/>
                <c:pt idx="0">
                  <c:v>64</c:v>
                </c:pt>
              </c:strCache>
            </c:strRef>
          </c:tx>
          <c:spPr>
            <a:ln w="1908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'X transfer'!$A$27:$A$31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xVal>
          <c:yVal>
            <c:numRef>
              <c:f>'X transfer'!$E$27:$E$31</c:f>
              <c:numCache>
                <c:formatCode>General</c:formatCode>
                <c:ptCount val="5"/>
                <c:pt idx="0">
                  <c:v>0.08</c:v>
                </c:pt>
                <c:pt idx="1">
                  <c:v>0.2</c:v>
                </c:pt>
                <c:pt idx="2">
                  <c:v>0.49</c:v>
                </c:pt>
                <c:pt idx="3">
                  <c:v>0.92</c:v>
                </c:pt>
                <c:pt idx="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88-4BD2-BD50-C7FC299F74B5}"/>
            </c:ext>
          </c:extLst>
        </c:ser>
        <c:ser>
          <c:idx val="2"/>
          <c:order val="2"/>
          <c:tx>
            <c:strRef>
              <c:f>'X transfer'!$D$33</c:f>
              <c:strCache>
                <c:ptCount val="1"/>
                <c:pt idx="0">
                  <c:v>16</c:v>
                </c:pt>
              </c:strCache>
            </c:strRef>
          </c:tx>
          <c:spPr>
            <a:ln w="1908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'X transfer'!$A$32:$A$36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xVal>
          <c:yVal>
            <c:numRef>
              <c:f>'X transfer'!$E$32:$E$36</c:f>
              <c:numCache>
                <c:formatCode>General</c:formatCode>
                <c:ptCount val="5"/>
                <c:pt idx="0">
                  <c:v>0.32</c:v>
                </c:pt>
                <c:pt idx="1">
                  <c:v>0.62</c:v>
                </c:pt>
                <c:pt idx="2">
                  <c:v>0.97</c:v>
                </c:pt>
                <c:pt idx="3">
                  <c:v>1.28</c:v>
                </c:pt>
                <c:pt idx="4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88-4BD2-BD50-C7FC299F74B5}"/>
            </c:ext>
          </c:extLst>
        </c:ser>
        <c:ser>
          <c:idx val="3"/>
          <c:order val="3"/>
          <c:tx>
            <c:strRef>
              <c:f>'X transfer'!$F$21</c:f>
              <c:strCache>
                <c:ptCount val="1"/>
                <c:pt idx="0">
                  <c:v>pred formula</c:v>
                </c:pt>
              </c:strCache>
            </c:strRef>
          </c:tx>
          <c:spPr>
            <a:ln w="19080" cap="rnd">
              <a:solidFill>
                <a:srgbClr val="0070C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'X transfer'!$A$22:$A$26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xVal>
          <c:yVal>
            <c:numRef>
              <c:f>'X transfer'!$F$22:$F$26</c:f>
              <c:numCache>
                <c:formatCode>General</c:formatCode>
                <c:ptCount val="5"/>
                <c:pt idx="0">
                  <c:v>3.4602076124567475E-3</c:v>
                </c:pt>
                <c:pt idx="1">
                  <c:v>1.3698630136986301E-2</c:v>
                </c:pt>
                <c:pt idx="2">
                  <c:v>5.2631578947368418E-2</c:v>
                </c:pt>
                <c:pt idx="3">
                  <c:v>0.18181818181818182</c:v>
                </c:pt>
                <c:pt idx="4">
                  <c:v>0.47058823529411764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88-4BD2-BD50-C7FC299F74B5}"/>
            </c:ext>
          </c:extLst>
        </c:ser>
        <c:ser>
          <c:idx val="4"/>
          <c:order val="4"/>
          <c:tx>
            <c:strRef>
              <c:f>'X transfer'!$D$28</c:f>
              <c:strCache>
                <c:ptCount val="1"/>
                <c:pt idx="0">
                  <c:v>64</c:v>
                </c:pt>
              </c:strCache>
            </c:strRef>
          </c:tx>
          <c:spPr>
            <a:ln w="19080" cap="rnd">
              <a:solidFill>
                <a:srgbClr val="FFC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'X transfer'!$A$27:$A$31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xVal>
          <c:yVal>
            <c:numRef>
              <c:f>'X transfer'!$F$27:$F$31</c:f>
              <c:numCache>
                <c:formatCode>General</c:formatCode>
                <c:ptCount val="5"/>
                <c:pt idx="0">
                  <c:v>5.2631578947368418E-2</c:v>
                </c:pt>
                <c:pt idx="1">
                  <c:v>0.18181818181818182</c:v>
                </c:pt>
                <c:pt idx="2">
                  <c:v>0.47058823529411764</c:v>
                </c:pt>
                <c:pt idx="3">
                  <c:v>0.78048780487804881</c:v>
                </c:pt>
                <c:pt idx="4">
                  <c:v>0.93430656934306566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88-4BD2-BD50-C7FC299F74B5}"/>
            </c:ext>
          </c:extLst>
        </c:ser>
        <c:ser>
          <c:idx val="5"/>
          <c:order val="5"/>
          <c:tx>
            <c:strRef>
              <c:f>'X transfer'!$D$33</c:f>
              <c:strCache>
                <c:ptCount val="1"/>
                <c:pt idx="0">
                  <c:v>16</c:v>
                </c:pt>
              </c:strCache>
            </c:strRef>
          </c:tx>
          <c:spPr>
            <a:ln w="19080" cap="rnd">
              <a:solidFill>
                <a:srgbClr val="00B05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'X transfer'!$A$32:$A$36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xVal>
          <c:yVal>
            <c:numRef>
              <c:f>'X transfer'!$F$32:$F$36</c:f>
              <c:numCache>
                <c:formatCode>General</c:formatCode>
                <c:ptCount val="5"/>
                <c:pt idx="0">
                  <c:v>0.47058823529411764</c:v>
                </c:pt>
                <c:pt idx="1">
                  <c:v>0.78048780487804881</c:v>
                </c:pt>
                <c:pt idx="2">
                  <c:v>0.93430656934306566</c:v>
                </c:pt>
                <c:pt idx="3">
                  <c:v>0.98272552783109401</c:v>
                </c:pt>
                <c:pt idx="4">
                  <c:v>0.99562469615945548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88-4BD2-BD50-C7FC299F7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5223"/>
        <c:axId val="7077383"/>
      </c:scatterChart>
      <c:valAx>
        <c:axId val="589522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077383"/>
        <c:crosses val="autoZero"/>
        <c:crossBetween val="midCat"/>
      </c:valAx>
      <c:valAx>
        <c:axId val="70773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895223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'X transfer'!$E$21</c:f>
              <c:strCache>
                <c:ptCount val="1"/>
                <c:pt idx="0">
                  <c:v>transferTime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'X transfer'!$E$22:$E$36</c:f>
              <c:numCache>
                <c:formatCode>General</c:formatCode>
                <c:ptCount val="15"/>
                <c:pt idx="0">
                  <c:v>0.01</c:v>
                </c:pt>
                <c:pt idx="1">
                  <c:v>0.02</c:v>
                </c:pt>
                <c:pt idx="2">
                  <c:v>0.05</c:v>
                </c:pt>
                <c:pt idx="3">
                  <c:v>0.21</c:v>
                </c:pt>
                <c:pt idx="4">
                  <c:v>0.54</c:v>
                </c:pt>
                <c:pt idx="5">
                  <c:v>0.08</c:v>
                </c:pt>
                <c:pt idx="6">
                  <c:v>0.2</c:v>
                </c:pt>
                <c:pt idx="7">
                  <c:v>0.49</c:v>
                </c:pt>
                <c:pt idx="8">
                  <c:v>0.92</c:v>
                </c:pt>
                <c:pt idx="9">
                  <c:v>1.29</c:v>
                </c:pt>
                <c:pt idx="10">
                  <c:v>0.32</c:v>
                </c:pt>
                <c:pt idx="11">
                  <c:v>0.62</c:v>
                </c:pt>
                <c:pt idx="12">
                  <c:v>0.97</c:v>
                </c:pt>
                <c:pt idx="13">
                  <c:v>1.28</c:v>
                </c:pt>
                <c:pt idx="14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2-48D0-8A41-3FFF18E3F51A}"/>
            </c:ext>
          </c:extLst>
        </c:ser>
        <c:ser>
          <c:idx val="1"/>
          <c:order val="1"/>
          <c:tx>
            <c:strRef>
              <c:f>'X transfer'!$F$21</c:f>
              <c:strCache>
                <c:ptCount val="1"/>
                <c:pt idx="0">
                  <c:v>pred formula</c:v>
                </c:pt>
              </c:strCache>
            </c:strRef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'X transfer'!$F$22:$F$36</c:f>
              <c:numCache>
                <c:formatCode>General</c:formatCode>
                <c:ptCount val="15"/>
                <c:pt idx="0">
                  <c:v>3.4602076124567475E-3</c:v>
                </c:pt>
                <c:pt idx="1">
                  <c:v>1.3698630136986301E-2</c:v>
                </c:pt>
                <c:pt idx="2">
                  <c:v>5.2631578947368418E-2</c:v>
                </c:pt>
                <c:pt idx="3">
                  <c:v>0.18181818181818182</c:v>
                </c:pt>
                <c:pt idx="4">
                  <c:v>0.47058823529411764</c:v>
                </c:pt>
                <c:pt idx="5">
                  <c:v>5.2631578947368418E-2</c:v>
                </c:pt>
                <c:pt idx="6">
                  <c:v>0.18181818181818182</c:v>
                </c:pt>
                <c:pt idx="7">
                  <c:v>0.47058823529411764</c:v>
                </c:pt>
                <c:pt idx="8">
                  <c:v>0.78048780487804881</c:v>
                </c:pt>
                <c:pt idx="9">
                  <c:v>0.93430656934306566</c:v>
                </c:pt>
                <c:pt idx="10">
                  <c:v>0.47058823529411764</c:v>
                </c:pt>
                <c:pt idx="11">
                  <c:v>0.78048780487804881</c:v>
                </c:pt>
                <c:pt idx="12">
                  <c:v>0.93430656934306566</c:v>
                </c:pt>
                <c:pt idx="13">
                  <c:v>0.98272552783109401</c:v>
                </c:pt>
                <c:pt idx="14">
                  <c:v>0.99562469615945548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2-48D0-8A41-3FFF18E3F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84927439"/>
        <c:axId val="29698336"/>
      </c:lineChart>
      <c:catAx>
        <c:axId val="8492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9698336"/>
        <c:crosses val="autoZero"/>
        <c:auto val="1"/>
        <c:lblAlgn val="ctr"/>
        <c:lblOffset val="100"/>
        <c:noMultiLvlLbl val="0"/>
      </c:catAx>
      <c:valAx>
        <c:axId val="296983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4927439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'X computation'!$F$1</c:f>
              <c:strCache>
                <c:ptCount val="1"/>
                <c:pt idx="0">
                  <c:v>X ComputationTime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'X computation'!$F$2:$F$16</c:f>
              <c:numCache>
                <c:formatCode>General</c:formatCode>
                <c:ptCount val="15"/>
                <c:pt idx="0">
                  <c:v>1.2</c:v>
                </c:pt>
                <c:pt idx="1">
                  <c:v>1.0900000000000001</c:v>
                </c:pt>
                <c:pt idx="2">
                  <c:v>1.1200000000000001</c:v>
                </c:pt>
                <c:pt idx="3">
                  <c:v>1.1299999999999999</c:v>
                </c:pt>
                <c:pt idx="4">
                  <c:v>1.1200000000000001</c:v>
                </c:pt>
                <c:pt idx="5">
                  <c:v>1.3</c:v>
                </c:pt>
                <c:pt idx="6">
                  <c:v>0.98</c:v>
                </c:pt>
                <c:pt idx="7">
                  <c:v>1.0900000000000001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1.31</c:v>
                </c:pt>
                <c:pt idx="11">
                  <c:v>0.96</c:v>
                </c:pt>
                <c:pt idx="12">
                  <c:v>1.1299999999999999</c:v>
                </c:pt>
                <c:pt idx="13">
                  <c:v>1.0900000000000001</c:v>
                </c:pt>
                <c:pt idx="14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C-4FAE-968E-4B69210F1420}"/>
            </c:ext>
          </c:extLst>
        </c:ser>
        <c:ser>
          <c:idx val="1"/>
          <c:order val="1"/>
          <c:tx>
            <c:strRef>
              <c:f>'X computation'!$H$1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'X computation'!$H$2:$H$16</c:f>
              <c:numCache>
                <c:formatCode>General</c:formatCode>
                <c:ptCount val="15"/>
                <c:pt idx="0">
                  <c:v>1.8999011339086282</c:v>
                </c:pt>
                <c:pt idx="1">
                  <c:v>1.6920737431006645</c:v>
                </c:pt>
                <c:pt idx="2">
                  <c:v>1.3597470528534623</c:v>
                </c:pt>
                <c:pt idx="3">
                  <c:v>1.1231690366727254</c:v>
                </c:pt>
                <c:pt idx="4">
                  <c:v>1.0339262575097186</c:v>
                </c:pt>
                <c:pt idx="5">
                  <c:v>1.358990339669679</c:v>
                </c:pt>
                <c:pt idx="6">
                  <c:v>1.1228144989339019</c:v>
                </c:pt>
                <c:pt idx="7">
                  <c:v>1.0338186942226397</c:v>
                </c:pt>
                <c:pt idx="8">
                  <c:v>1.0086746987951807</c:v>
                </c:pt>
                <c:pt idx="9">
                  <c:v>1.0021828765462042</c:v>
                </c:pt>
                <c:pt idx="10">
                  <c:v>1.033395176252319</c:v>
                </c:pt>
                <c:pt idx="11">
                  <c:v>1.0085632730732637</c:v>
                </c:pt>
                <c:pt idx="12">
                  <c:v>1.002154656451999</c:v>
                </c:pt>
                <c:pt idx="13">
                  <c:v>1.0005395359990408</c:v>
                </c:pt>
                <c:pt idx="14">
                  <c:v>1.0001349386029357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1C-4FAE-968E-4B69210F1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8487184"/>
        <c:axId val="2088476784"/>
      </c:lineChart>
      <c:catAx>
        <c:axId val="2088487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76784"/>
        <c:crosses val="autoZero"/>
        <c:auto val="1"/>
        <c:lblAlgn val="ctr"/>
        <c:lblOffset val="100"/>
        <c:noMultiLvlLbl val="0"/>
      </c:catAx>
      <c:valAx>
        <c:axId val="208847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8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Formula 6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'final speedup'!$F$1</c:f>
              <c:strCache>
                <c:ptCount val="1"/>
                <c:pt idx="0">
                  <c:v>nearFieldTime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'final speedup'!$F$2:$F$16</c:f>
              <c:numCache>
                <c:formatCode>General</c:formatCode>
                <c:ptCount val="15"/>
                <c:pt idx="0">
                  <c:v>0.23</c:v>
                </c:pt>
                <c:pt idx="1">
                  <c:v>0.5</c:v>
                </c:pt>
                <c:pt idx="2">
                  <c:v>0.85</c:v>
                </c:pt>
                <c:pt idx="3">
                  <c:v>1.05</c:v>
                </c:pt>
                <c:pt idx="4">
                  <c:v>1.1100000000000001</c:v>
                </c:pt>
                <c:pt idx="5">
                  <c:v>0.57999999999999996</c:v>
                </c:pt>
                <c:pt idx="6">
                  <c:v>0.76</c:v>
                </c:pt>
                <c:pt idx="7">
                  <c:v>1.02</c:v>
                </c:pt>
                <c:pt idx="8">
                  <c:v>1.08</c:v>
                </c:pt>
                <c:pt idx="9">
                  <c:v>1.1100000000000001</c:v>
                </c:pt>
                <c:pt idx="10">
                  <c:v>0.69</c:v>
                </c:pt>
                <c:pt idx="11">
                  <c:v>0.85</c:v>
                </c:pt>
                <c:pt idx="12">
                  <c:v>1.1000000000000001</c:v>
                </c:pt>
                <c:pt idx="13">
                  <c:v>1.1200000000000001</c:v>
                </c:pt>
                <c:pt idx="14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3D-46CC-9385-9AEA6AADB1BE}"/>
            </c:ext>
          </c:extLst>
        </c:ser>
        <c:ser>
          <c:idx val="1"/>
          <c:order val="1"/>
          <c:tx>
            <c:strRef>
              <c:f>'final speedup'!$P$1</c:f>
              <c:strCache>
                <c:ptCount val="1"/>
                <c:pt idx="0">
                  <c:v>pred X</c:v>
                </c:pt>
              </c:strCache>
            </c:strRef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'final speedup'!$P$2:$P$16</c:f>
              <c:numCache>
                <c:formatCode>General</c:formatCode>
                <c:ptCount val="15"/>
                <c:pt idx="0">
                  <c:v>0.21194406526832041</c:v>
                </c:pt>
                <c:pt idx="1">
                  <c:v>0.60857449594469637</c:v>
                </c:pt>
                <c:pt idx="2">
                  <c:v>0.99916278095694078</c:v>
                </c:pt>
                <c:pt idx="3">
                  <c:v>1.0445805172635878</c:v>
                </c:pt>
                <c:pt idx="4">
                  <c:v>1.0162483512087241</c:v>
                </c:pt>
                <c:pt idx="5">
                  <c:v>0.5563453557489525</c:v>
                </c:pt>
                <c:pt idx="6">
                  <c:v>0.86315584800482803</c:v>
                </c:pt>
                <c:pt idx="7">
                  <c:v>0.96657615422236343</c:v>
                </c:pt>
                <c:pt idx="8">
                  <c:v>0.99182002263511249</c:v>
                </c:pt>
                <c:pt idx="9">
                  <c:v>0.9979687389919113</c:v>
                </c:pt>
                <c:pt idx="10">
                  <c:v>0.80856432200856376</c:v>
                </c:pt>
                <c:pt idx="11">
                  <c:v>0.94439932499949186</c:v>
                </c:pt>
                <c:pt idx="12">
                  <c:v>0.98551537504723907</c:v>
                </c:pt>
                <c:pt idx="13">
                  <c:v>0.99634039839450761</c:v>
                </c:pt>
                <c:pt idx="14">
                  <c:v>0.99908266516489475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3D-46CC-9385-9AEA6AADB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76326382"/>
        <c:axId val="76091162"/>
      </c:lineChart>
      <c:catAx>
        <c:axId val="763263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6091162"/>
        <c:crosses val="autoZero"/>
        <c:auto val="1"/>
        <c:lblAlgn val="ctr"/>
        <c:lblOffset val="100"/>
        <c:noMultiLvlLbl val="0"/>
      </c:catAx>
      <c:valAx>
        <c:axId val="760911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6326382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Formula 6 Simplified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'final speedup'!$F$1</c:f>
              <c:strCache>
                <c:ptCount val="1"/>
                <c:pt idx="0">
                  <c:v>nearFieldTime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'final speedup'!$F$2:$F$16</c:f>
              <c:numCache>
                <c:formatCode>General</c:formatCode>
                <c:ptCount val="15"/>
                <c:pt idx="0">
                  <c:v>0.23</c:v>
                </c:pt>
                <c:pt idx="1">
                  <c:v>0.5</c:v>
                </c:pt>
                <c:pt idx="2">
                  <c:v>0.85</c:v>
                </c:pt>
                <c:pt idx="3">
                  <c:v>1.05</c:v>
                </c:pt>
                <c:pt idx="4">
                  <c:v>1.1100000000000001</c:v>
                </c:pt>
                <c:pt idx="5">
                  <c:v>0.57999999999999996</c:v>
                </c:pt>
                <c:pt idx="6">
                  <c:v>0.76</c:v>
                </c:pt>
                <c:pt idx="7">
                  <c:v>1.02</c:v>
                </c:pt>
                <c:pt idx="8">
                  <c:v>1.08</c:v>
                </c:pt>
                <c:pt idx="9">
                  <c:v>1.1100000000000001</c:v>
                </c:pt>
                <c:pt idx="10">
                  <c:v>0.69</c:v>
                </c:pt>
                <c:pt idx="11">
                  <c:v>0.85</c:v>
                </c:pt>
                <c:pt idx="12">
                  <c:v>1.1000000000000001</c:v>
                </c:pt>
                <c:pt idx="13">
                  <c:v>1.1200000000000001</c:v>
                </c:pt>
                <c:pt idx="14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69-469B-80F8-8A8A9AD4EDB7}"/>
            </c:ext>
          </c:extLst>
        </c:ser>
        <c:ser>
          <c:idx val="1"/>
          <c:order val="1"/>
          <c:tx>
            <c:strRef>
              <c:f>'final speedup'!$R$1</c:f>
              <c:strCache>
                <c:ptCount val="1"/>
                <c:pt idx="0">
                  <c:v>pred x </c:v>
                </c:pt>
              </c:strCache>
            </c:strRef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'final speedup'!$R$2:$R$16</c:f>
              <c:numCache>
                <c:formatCode>General</c:formatCode>
                <c:ptCount val="15"/>
                <c:pt idx="0">
                  <c:v>0.21194406526832041</c:v>
                </c:pt>
                <c:pt idx="1">
                  <c:v>0.60857449594469637</c:v>
                </c:pt>
                <c:pt idx="2">
                  <c:v>0.99916278095694078</c:v>
                </c:pt>
                <c:pt idx="3">
                  <c:v>1.0445805172635878</c:v>
                </c:pt>
                <c:pt idx="4">
                  <c:v>1.0162483512087241</c:v>
                </c:pt>
                <c:pt idx="5">
                  <c:v>0.5563453557489525</c:v>
                </c:pt>
                <c:pt idx="6">
                  <c:v>0.86315584800482803</c:v>
                </c:pt>
                <c:pt idx="7">
                  <c:v>0.96657615422236343</c:v>
                </c:pt>
                <c:pt idx="8">
                  <c:v>0.99182002263511249</c:v>
                </c:pt>
                <c:pt idx="9">
                  <c:v>0.9979687389919113</c:v>
                </c:pt>
                <c:pt idx="10">
                  <c:v>0.80856432200856376</c:v>
                </c:pt>
                <c:pt idx="11">
                  <c:v>0.94439932499949186</c:v>
                </c:pt>
                <c:pt idx="12">
                  <c:v>0.98551537504723907</c:v>
                </c:pt>
                <c:pt idx="13">
                  <c:v>0.99634039839450761</c:v>
                </c:pt>
                <c:pt idx="14">
                  <c:v>0.99908266516489475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69-469B-80F8-8A8A9AD4E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11840034"/>
        <c:axId val="5784597"/>
      </c:lineChart>
      <c:catAx>
        <c:axId val="118400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784597"/>
        <c:crosses val="autoZero"/>
        <c:auto val="1"/>
        <c:lblAlgn val="ctr"/>
        <c:lblOffset val="100"/>
        <c:noMultiLvlLbl val="0"/>
      </c:catAx>
      <c:valAx>
        <c:axId val="578459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1840034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6763460970568"/>
          <c:y val="5.2978314575899001E-2"/>
          <c:w val="0.74859730288414195"/>
          <c:h val="0.77367554213560297"/>
        </c:manualLayout>
      </c:layout>
      <c:lineChart>
        <c:grouping val="standard"/>
        <c:varyColors val="0"/>
        <c:ser>
          <c:idx val="0"/>
          <c:order val="0"/>
          <c:tx>
            <c:v>t=256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'final speedup'!$A$12:$A$16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'final speedup'!$F$2:$F$6</c:f>
              <c:numCache>
                <c:formatCode>General</c:formatCode>
                <c:ptCount val="5"/>
                <c:pt idx="0">
                  <c:v>0.23</c:v>
                </c:pt>
                <c:pt idx="1">
                  <c:v>0.5</c:v>
                </c:pt>
                <c:pt idx="2">
                  <c:v>0.85</c:v>
                </c:pt>
                <c:pt idx="3">
                  <c:v>1.05</c:v>
                </c:pt>
                <c:pt idx="4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13-4073-92F9-38FFD3214161}"/>
            </c:ext>
          </c:extLst>
        </c:ser>
        <c:ser>
          <c:idx val="1"/>
          <c:order val="1"/>
          <c:tx>
            <c:v>Predicted</c:v>
          </c:tx>
          <c:spPr>
            <a:ln cap="rnd">
              <a:solidFill>
                <a:srgbClr val="FF0000"/>
              </a:solidFill>
              <a:prstDash val="dash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'final speedup'!$A$12:$A$16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'final speedup normalized'!$F$21:$F$25</c:f>
              <c:numCache>
                <c:formatCode>General</c:formatCode>
                <c:ptCount val="5"/>
                <c:pt idx="0">
                  <c:v>0.23</c:v>
                </c:pt>
                <c:pt idx="1">
                  <c:v>0.54</c:v>
                </c:pt>
                <c:pt idx="2">
                  <c:v>0.87</c:v>
                </c:pt>
                <c:pt idx="3">
                  <c:v>1.04</c:v>
                </c:pt>
                <c:pt idx="4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13-4073-92F9-38FFD3214161}"/>
            </c:ext>
          </c:extLst>
        </c:ser>
        <c:ser>
          <c:idx val="2"/>
          <c:order val="2"/>
          <c:tx>
            <c:v>t=64</c:v>
          </c:tx>
          <c:spPr>
            <a:ln>
              <a:solidFill>
                <a:srgbClr val="2A6099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'final speedup'!$A$12:$A$16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'final speedup'!$F$7:$F$11</c:f>
              <c:numCache>
                <c:formatCode>General</c:formatCode>
                <c:ptCount val="5"/>
                <c:pt idx="0">
                  <c:v>0.57999999999999996</c:v>
                </c:pt>
                <c:pt idx="1">
                  <c:v>0.76</c:v>
                </c:pt>
                <c:pt idx="2">
                  <c:v>1.02</c:v>
                </c:pt>
                <c:pt idx="3">
                  <c:v>1.08</c:v>
                </c:pt>
                <c:pt idx="4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13-4073-92F9-38FFD3214161}"/>
            </c:ext>
          </c:extLst>
        </c:ser>
        <c:ser>
          <c:idx val="3"/>
          <c:order val="3"/>
          <c:tx>
            <c:v>Predicted</c:v>
          </c:tx>
          <c:spPr>
            <a:ln cap="rnd">
              <a:solidFill>
                <a:srgbClr val="2A6099"/>
              </a:solidFill>
              <a:prstDash val="dash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'final speedup'!$A$12:$A$16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'final speedup normalized'!$F$26:$F$30</c:f>
              <c:numCache>
                <c:formatCode>General</c:formatCode>
                <c:ptCount val="5"/>
                <c:pt idx="0">
                  <c:v>0.55000000000000004</c:v>
                </c:pt>
                <c:pt idx="1">
                  <c:v>0.88</c:v>
                </c:pt>
                <c:pt idx="2">
                  <c:v>1.03</c:v>
                </c:pt>
                <c:pt idx="3">
                  <c:v>1.0900000000000001</c:v>
                </c:pt>
                <c:pt idx="4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13-4073-92F9-38FFD3214161}"/>
            </c:ext>
          </c:extLst>
        </c:ser>
        <c:ser>
          <c:idx val="4"/>
          <c:order val="4"/>
          <c:tx>
            <c:v>t=16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'final speedup'!$A$12:$A$16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'final speedup'!$F$12:$F$16</c:f>
              <c:numCache>
                <c:formatCode>General</c:formatCode>
                <c:ptCount val="5"/>
                <c:pt idx="0">
                  <c:v>0.69</c:v>
                </c:pt>
                <c:pt idx="1">
                  <c:v>0.85</c:v>
                </c:pt>
                <c:pt idx="2">
                  <c:v>1.1000000000000001</c:v>
                </c:pt>
                <c:pt idx="3">
                  <c:v>1.1200000000000001</c:v>
                </c:pt>
                <c:pt idx="4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13-4073-92F9-38FFD3214161}"/>
            </c:ext>
          </c:extLst>
        </c:ser>
        <c:ser>
          <c:idx val="5"/>
          <c:order val="5"/>
          <c:tx>
            <c:v>Predicted</c:v>
          </c:tx>
          <c:spPr>
            <a:ln w="9000" cap="rnd">
              <a:solidFill>
                <a:srgbClr val="00B05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'final speedup'!$A$12:$A$16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'final speedup normalized'!$F$31:$F$35</c:f>
              <c:numCache>
                <c:formatCode>General</c:formatCode>
                <c:ptCount val="5"/>
                <c:pt idx="0">
                  <c:v>0.61</c:v>
                </c:pt>
                <c:pt idx="1">
                  <c:v>0.96</c:v>
                </c:pt>
                <c:pt idx="2">
                  <c:v>1.06</c:v>
                </c:pt>
                <c:pt idx="3">
                  <c:v>1.1200000000000001</c:v>
                </c:pt>
                <c:pt idx="4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13-4073-92F9-38FFD3214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8505588"/>
        <c:axId val="45946098"/>
      </c:lineChart>
      <c:catAx>
        <c:axId val="85055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946098"/>
        <c:crosses val="autoZero"/>
        <c:auto val="1"/>
        <c:lblAlgn val="ctr"/>
        <c:lblOffset val="100"/>
        <c:noMultiLvlLbl val="0"/>
      </c:catAx>
      <c:valAx>
        <c:axId val="4594609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SpeedUp of NearField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505588"/>
        <c:crosses val="autoZero"/>
        <c:crossBetween val="midCat"/>
      </c:val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62840830790432101"/>
          <c:y val="0.44551194070820799"/>
          <c:w val="0.32053553849182898"/>
          <c:h val="0.36074124914207301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4904137235116"/>
          <c:y val="1.94697597348799E-2"/>
          <c:w val="0.81705348133198796"/>
          <c:h val="0.812620822977078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non_redundnat!$V$1</c:f>
              <c:strCache>
                <c:ptCount val="1"/>
                <c:pt idx="0">
                  <c:v>L’=L+1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non_redundnat!$U$2:$U$6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non_redundnat!$V$2:$V$6</c:f>
              <c:numCache>
                <c:formatCode>General</c:formatCode>
                <c:ptCount val="5"/>
                <c:pt idx="0">
                  <c:v>0.13</c:v>
                </c:pt>
                <c:pt idx="1">
                  <c:v>0.12</c:v>
                </c:pt>
                <c:pt idx="2">
                  <c:v>0.13</c:v>
                </c:pt>
                <c:pt idx="3">
                  <c:v>0.13</c:v>
                </c:pt>
                <c:pt idx="4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D-4068-A662-E0B1C5B4B1C9}"/>
            </c:ext>
          </c:extLst>
        </c:ser>
        <c:ser>
          <c:idx val="1"/>
          <c:order val="1"/>
          <c:tx>
            <c:strRef>
              <c:f>non_redundnat!$W$1</c:f>
              <c:strCache>
                <c:ptCount val="1"/>
                <c:pt idx="0">
                  <c:v>L’=L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non_redundnat!$U$2:$U$6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non_redundnat!$W$2:$W$6</c:f>
              <c:numCache>
                <c:formatCode>General</c:formatCode>
                <c:ptCount val="5"/>
                <c:pt idx="0">
                  <c:v>0.47</c:v>
                </c:pt>
                <c:pt idx="1">
                  <c:v>0.47</c:v>
                </c:pt>
                <c:pt idx="2">
                  <c:v>0.49</c:v>
                </c:pt>
                <c:pt idx="3">
                  <c:v>0.49</c:v>
                </c:pt>
                <c:pt idx="4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FD-4068-A662-E0B1C5B4B1C9}"/>
            </c:ext>
          </c:extLst>
        </c:ser>
        <c:ser>
          <c:idx val="2"/>
          <c:order val="2"/>
          <c:tx>
            <c:strRef>
              <c:f>non_redundnat!$X$1</c:f>
              <c:strCache>
                <c:ptCount val="1"/>
                <c:pt idx="0">
                  <c:v>L’=L+1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non_redundnat!$U$2:$U$6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non_redundnat!$X$2:$X$6</c:f>
              <c:numCache>
                <c:formatCode>General</c:formatCode>
                <c:ptCount val="5"/>
                <c:pt idx="0">
                  <c:v>0.75</c:v>
                </c:pt>
                <c:pt idx="1">
                  <c:v>0.88</c:v>
                </c:pt>
                <c:pt idx="2">
                  <c:v>0.82</c:v>
                </c:pt>
                <c:pt idx="3">
                  <c:v>0.82</c:v>
                </c:pt>
                <c:pt idx="4">
                  <c:v>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FD-4068-A662-E0B1C5B4B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32581"/>
        <c:axId val="12097956"/>
      </c:barChart>
      <c:catAx>
        <c:axId val="24325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N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12097956"/>
        <c:crosses val="autoZero"/>
        <c:auto val="1"/>
        <c:lblAlgn val="ctr"/>
        <c:lblOffset val="100"/>
        <c:noMultiLvlLbl val="0"/>
      </c:catAx>
      <c:valAx>
        <c:axId val="1209795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Share Near-Field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2432581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14904137235116"/>
          <c:y val="1.94697597348799E-2"/>
          <c:w val="0.16167120799273399"/>
          <c:h val="0.219997237950559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'final speedup normalized'!$F$1</c:f>
              <c:strCache>
                <c:ptCount val="1"/>
                <c:pt idx="0">
                  <c:v>Near-Field</c:v>
                </c:pt>
              </c:strCache>
            </c:strRef>
          </c:tx>
          <c:spPr>
            <a:ln w="28800">
              <a:solidFill>
                <a:srgbClr val="81D41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'final speedup normalized'!$F$2:$F$16</c:f>
              <c:numCache>
                <c:formatCode>General</c:formatCode>
                <c:ptCount val="15"/>
                <c:pt idx="0">
                  <c:v>0.23</c:v>
                </c:pt>
                <c:pt idx="1">
                  <c:v>0.5</c:v>
                </c:pt>
                <c:pt idx="2">
                  <c:v>0.85</c:v>
                </c:pt>
                <c:pt idx="3">
                  <c:v>1.05</c:v>
                </c:pt>
                <c:pt idx="4">
                  <c:v>1.1100000000000001</c:v>
                </c:pt>
                <c:pt idx="5">
                  <c:v>0.57999999999999996</c:v>
                </c:pt>
                <c:pt idx="6">
                  <c:v>0.76</c:v>
                </c:pt>
                <c:pt idx="7">
                  <c:v>1.02</c:v>
                </c:pt>
                <c:pt idx="8">
                  <c:v>1.08</c:v>
                </c:pt>
                <c:pt idx="9">
                  <c:v>1.1100000000000001</c:v>
                </c:pt>
                <c:pt idx="10">
                  <c:v>0.69</c:v>
                </c:pt>
                <c:pt idx="11">
                  <c:v>0.85</c:v>
                </c:pt>
                <c:pt idx="12">
                  <c:v>1.1000000000000001</c:v>
                </c:pt>
                <c:pt idx="13">
                  <c:v>1.1200000000000001</c:v>
                </c:pt>
                <c:pt idx="14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1-4024-9CB4-B7021D9B8420}"/>
            </c:ext>
          </c:extLst>
        </c:ser>
        <c:ser>
          <c:idx val="1"/>
          <c:order val="1"/>
          <c:tx>
            <c:strRef>
              <c:f>'final speedup normalized'!$U$23</c:f>
              <c:strCache>
                <c:ptCount val="1"/>
                <c:pt idx="0">
                  <c:v>Near-Field Normalized</c:v>
                </c:pt>
              </c:strCache>
            </c:strRef>
          </c:tx>
          <c:spPr>
            <a:ln w="90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'final speedup normalized'!$F$21:$F$35</c:f>
              <c:numCache>
                <c:formatCode>General</c:formatCode>
                <c:ptCount val="15"/>
                <c:pt idx="0">
                  <c:v>0.23</c:v>
                </c:pt>
                <c:pt idx="1">
                  <c:v>0.54</c:v>
                </c:pt>
                <c:pt idx="2">
                  <c:v>0.87</c:v>
                </c:pt>
                <c:pt idx="3">
                  <c:v>1.04</c:v>
                </c:pt>
                <c:pt idx="4">
                  <c:v>1.1100000000000001</c:v>
                </c:pt>
                <c:pt idx="5">
                  <c:v>0.55000000000000004</c:v>
                </c:pt>
                <c:pt idx="6">
                  <c:v>0.88</c:v>
                </c:pt>
                <c:pt idx="7">
                  <c:v>1.03</c:v>
                </c:pt>
                <c:pt idx="8">
                  <c:v>1.0900000000000001</c:v>
                </c:pt>
                <c:pt idx="9">
                  <c:v>1.1100000000000001</c:v>
                </c:pt>
                <c:pt idx="10">
                  <c:v>0.61</c:v>
                </c:pt>
                <c:pt idx="11">
                  <c:v>0.96</c:v>
                </c:pt>
                <c:pt idx="12">
                  <c:v>1.06</c:v>
                </c:pt>
                <c:pt idx="13">
                  <c:v>1.1200000000000001</c:v>
                </c:pt>
                <c:pt idx="14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51-4024-9CB4-B7021D9B8420}"/>
            </c:ext>
          </c:extLst>
        </c:ser>
        <c:ser>
          <c:idx val="2"/>
          <c:order val="2"/>
          <c:tx>
            <c:strRef>
              <c:f>'final speedup'!$P$1</c:f>
              <c:strCache>
                <c:ptCount val="1"/>
                <c:pt idx="0">
                  <c:v>pred X</c:v>
                </c:pt>
              </c:strCache>
            </c:strRef>
          </c:tx>
          <c:spPr>
            <a:ln w="90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'final speedup'!$P$2:$P$16</c:f>
              <c:numCache>
                <c:formatCode>General</c:formatCode>
                <c:ptCount val="15"/>
                <c:pt idx="0">
                  <c:v>0.21194406526832041</c:v>
                </c:pt>
                <c:pt idx="1">
                  <c:v>0.60857449594469637</c:v>
                </c:pt>
                <c:pt idx="2">
                  <c:v>0.99916278095694078</c:v>
                </c:pt>
                <c:pt idx="3">
                  <c:v>1.0445805172635878</c:v>
                </c:pt>
                <c:pt idx="4">
                  <c:v>1.0162483512087241</c:v>
                </c:pt>
                <c:pt idx="5">
                  <c:v>0.5563453557489525</c:v>
                </c:pt>
                <c:pt idx="6">
                  <c:v>0.86315584800482803</c:v>
                </c:pt>
                <c:pt idx="7">
                  <c:v>0.96657615422236343</c:v>
                </c:pt>
                <c:pt idx="8">
                  <c:v>0.99182002263511249</c:v>
                </c:pt>
                <c:pt idx="9">
                  <c:v>0.9979687389919113</c:v>
                </c:pt>
                <c:pt idx="10">
                  <c:v>0.80856432200856376</c:v>
                </c:pt>
                <c:pt idx="11">
                  <c:v>0.94439932499949186</c:v>
                </c:pt>
                <c:pt idx="12">
                  <c:v>0.98551537504723907</c:v>
                </c:pt>
                <c:pt idx="13">
                  <c:v>0.99634039839450761</c:v>
                </c:pt>
                <c:pt idx="14">
                  <c:v>0.99908266516489475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1-4024-9CB4-B7021D9B8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93825199"/>
        <c:axId val="43365189"/>
      </c:lineChart>
      <c:catAx>
        <c:axId val="93825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43365189"/>
        <c:crosses val="autoZero"/>
        <c:auto val="1"/>
        <c:lblAlgn val="ctr"/>
        <c:lblOffset val="100"/>
        <c:noMultiLvlLbl val="0"/>
      </c:catAx>
      <c:valAx>
        <c:axId val="4336518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93825199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16</xdr:row>
      <xdr:rowOff>152640</xdr:rowOff>
    </xdr:from>
    <xdr:to>
      <xdr:col>5</xdr:col>
      <xdr:colOff>29880</xdr:colOff>
      <xdr:row>29</xdr:row>
      <xdr:rowOff>33840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106920</xdr:colOff>
      <xdr:row>16</xdr:row>
      <xdr:rowOff>152640</xdr:rowOff>
    </xdr:from>
    <xdr:to>
      <xdr:col>9</xdr:col>
      <xdr:colOff>471960</xdr:colOff>
      <xdr:row>29</xdr:row>
      <xdr:rowOff>33840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351000</xdr:colOff>
      <xdr:row>16</xdr:row>
      <xdr:rowOff>69120</xdr:rowOff>
    </xdr:from>
    <xdr:to>
      <xdr:col>16</xdr:col>
      <xdr:colOff>571320</xdr:colOff>
      <xdr:row>29</xdr:row>
      <xdr:rowOff>155880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594360</xdr:colOff>
      <xdr:row>16</xdr:row>
      <xdr:rowOff>69120</xdr:rowOff>
    </xdr:from>
    <xdr:to>
      <xdr:col>20</xdr:col>
      <xdr:colOff>205200</xdr:colOff>
      <xdr:row>29</xdr:row>
      <xdr:rowOff>155880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510480</xdr:colOff>
      <xdr:row>16</xdr:row>
      <xdr:rowOff>152640</xdr:rowOff>
    </xdr:from>
    <xdr:to>
      <xdr:col>13</xdr:col>
      <xdr:colOff>189720</xdr:colOff>
      <xdr:row>29</xdr:row>
      <xdr:rowOff>33840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237600</xdr:colOff>
      <xdr:row>72</xdr:row>
      <xdr:rowOff>96480</xdr:rowOff>
    </xdr:from>
    <xdr:to>
      <xdr:col>14</xdr:col>
      <xdr:colOff>237600</xdr:colOff>
      <xdr:row>86</xdr:row>
      <xdr:rowOff>173520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297720</xdr:colOff>
      <xdr:row>56</xdr:row>
      <xdr:rowOff>23400</xdr:rowOff>
    </xdr:from>
    <xdr:to>
      <xdr:col>16</xdr:col>
      <xdr:colOff>22680</xdr:colOff>
      <xdr:row>71</xdr:row>
      <xdr:rowOff>22680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167760</xdr:colOff>
      <xdr:row>56</xdr:row>
      <xdr:rowOff>19440</xdr:rowOff>
    </xdr:from>
    <xdr:to>
      <xdr:col>12</xdr:col>
      <xdr:colOff>212760</xdr:colOff>
      <xdr:row>71</xdr:row>
      <xdr:rowOff>18720</xdr:rowOff>
    </xdr:to>
    <xdr:graphicFrame macro="">
      <xdr:nvGraphicFramePr>
        <xdr:cNvPr id="9" name="Chart 1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19</xdr:col>
      <xdr:colOff>138960</xdr:colOff>
      <xdr:row>10</xdr:row>
      <xdr:rowOff>30240</xdr:rowOff>
    </xdr:from>
    <xdr:to>
      <xdr:col>25</xdr:col>
      <xdr:colOff>425520</xdr:colOff>
      <xdr:row>28</xdr:row>
      <xdr:rowOff>18360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221040</xdr:colOff>
      <xdr:row>17</xdr:row>
      <xdr:rowOff>160200</xdr:rowOff>
    </xdr:from>
    <xdr:to>
      <xdr:col>3</xdr:col>
      <xdr:colOff>487080</xdr:colOff>
      <xdr:row>29</xdr:row>
      <xdr:rowOff>79560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17</xdr:row>
      <xdr:rowOff>144720</xdr:rowOff>
    </xdr:from>
    <xdr:to>
      <xdr:col>7</xdr:col>
      <xdr:colOff>29880</xdr:colOff>
      <xdr:row>29</xdr:row>
      <xdr:rowOff>178200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114480</xdr:colOff>
      <xdr:row>17</xdr:row>
      <xdr:rowOff>152280</xdr:rowOff>
    </xdr:from>
    <xdr:to>
      <xdr:col>10</xdr:col>
      <xdr:colOff>98640</xdr:colOff>
      <xdr:row>30</xdr:row>
      <xdr:rowOff>21960</xdr:rowOff>
    </xdr:to>
    <xdr:graphicFrame macro="">
      <xdr:nvGraphicFramePr>
        <xdr:cNvPr id="11" name="Chart 6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510480</xdr:colOff>
      <xdr:row>17</xdr:row>
      <xdr:rowOff>175320</xdr:rowOff>
    </xdr:from>
    <xdr:to>
      <xdr:col>19</xdr:col>
      <xdr:colOff>425880</xdr:colOff>
      <xdr:row>31</xdr:row>
      <xdr:rowOff>79200</xdr:rowOff>
    </xdr:to>
    <xdr:graphicFrame macro="">
      <xdr:nvGraphicFramePr>
        <xdr:cNvPr id="12" name="Chart 9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480240</xdr:colOff>
      <xdr:row>17</xdr:row>
      <xdr:rowOff>167760</xdr:rowOff>
    </xdr:from>
    <xdr:to>
      <xdr:col>22</xdr:col>
      <xdr:colOff>395640</xdr:colOff>
      <xdr:row>31</xdr:row>
      <xdr:rowOff>71640</xdr:rowOff>
    </xdr:to>
    <xdr:graphicFrame macro="">
      <xdr:nvGraphicFramePr>
        <xdr:cNvPr id="13" name="Chart 10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106920</xdr:colOff>
      <xdr:row>2</xdr:row>
      <xdr:rowOff>19080</xdr:rowOff>
    </xdr:from>
    <xdr:to>
      <xdr:col>13</xdr:col>
      <xdr:colOff>494640</xdr:colOff>
      <xdr:row>17</xdr:row>
      <xdr:rowOff>18360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320040</xdr:colOff>
      <xdr:row>2</xdr:row>
      <xdr:rowOff>15120</xdr:rowOff>
    </xdr:from>
    <xdr:to>
      <xdr:col>23</xdr:col>
      <xdr:colOff>98640</xdr:colOff>
      <xdr:row>17</xdr:row>
      <xdr:rowOff>14400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99360</xdr:colOff>
      <xdr:row>17</xdr:row>
      <xdr:rowOff>38160</xdr:rowOff>
    </xdr:from>
    <xdr:to>
      <xdr:col>13</xdr:col>
      <xdr:colOff>487440</xdr:colOff>
      <xdr:row>32</xdr:row>
      <xdr:rowOff>106200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502920</xdr:colOff>
      <xdr:row>2</xdr:row>
      <xdr:rowOff>19080</xdr:rowOff>
    </xdr:from>
    <xdr:to>
      <xdr:col>18</xdr:col>
      <xdr:colOff>296640</xdr:colOff>
      <xdr:row>17</xdr:row>
      <xdr:rowOff>18360</xdr:rowOff>
    </xdr:to>
    <xdr:graphicFrame macro="">
      <xdr:nvGraphicFramePr>
        <xdr:cNvPr id="17" name="Chart 8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16</xdr:row>
      <xdr:rowOff>114480</xdr:rowOff>
    </xdr:from>
    <xdr:to>
      <xdr:col>3</xdr:col>
      <xdr:colOff>342360</xdr:colOff>
      <xdr:row>31</xdr:row>
      <xdr:rowOff>174960</xdr:rowOff>
    </xdr:to>
    <xdr:graphicFrame macro="">
      <xdr:nvGraphicFramePr>
        <xdr:cNvPr id="19" name="Chart 6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472320</xdr:colOff>
      <xdr:row>16</xdr:row>
      <xdr:rowOff>122040</xdr:rowOff>
    </xdr:from>
    <xdr:to>
      <xdr:col>7</xdr:col>
      <xdr:colOff>365040</xdr:colOff>
      <xdr:row>32</xdr:row>
      <xdr:rowOff>7200</xdr:rowOff>
    </xdr:to>
    <xdr:graphicFrame macro="">
      <xdr:nvGraphicFramePr>
        <xdr:cNvPr id="20" name="Chart 7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449640</xdr:colOff>
      <xdr:row>2</xdr:row>
      <xdr:rowOff>160200</xdr:rowOff>
    </xdr:from>
    <xdr:to>
      <xdr:col>10</xdr:col>
      <xdr:colOff>227880</xdr:colOff>
      <xdr:row>17</xdr:row>
      <xdr:rowOff>159480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480240</xdr:colOff>
      <xdr:row>24</xdr:row>
      <xdr:rowOff>125640</xdr:rowOff>
    </xdr:from>
    <xdr:to>
      <xdr:col>12</xdr:col>
      <xdr:colOff>68040</xdr:colOff>
      <xdr:row>39</xdr:row>
      <xdr:rowOff>124920</xdr:rowOff>
    </xdr:to>
    <xdr:graphicFrame macro="">
      <xdr:nvGraphicFramePr>
        <xdr:cNvPr id="22" name="Chart 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182880</xdr:colOff>
      <xdr:row>24</xdr:row>
      <xdr:rowOff>148680</xdr:rowOff>
    </xdr:from>
    <xdr:to>
      <xdr:col>16</xdr:col>
      <xdr:colOff>433800</xdr:colOff>
      <xdr:row>39</xdr:row>
      <xdr:rowOff>147960</xdr:rowOff>
    </xdr:to>
    <xdr:graphicFrame macro="">
      <xdr:nvGraphicFramePr>
        <xdr:cNvPr id="23" name="Chart 3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320040</xdr:colOff>
      <xdr:row>3</xdr:row>
      <xdr:rowOff>57150</xdr:rowOff>
    </xdr:from>
    <xdr:to>
      <xdr:col>20</xdr:col>
      <xdr:colOff>121920</xdr:colOff>
      <xdr:row>19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5295D6-7E18-4255-ADE5-4B6BD024C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366120</xdr:colOff>
      <xdr:row>16</xdr:row>
      <xdr:rowOff>110520</xdr:rowOff>
    </xdr:from>
    <xdr:to>
      <xdr:col>12</xdr:col>
      <xdr:colOff>297000</xdr:colOff>
      <xdr:row>30</xdr:row>
      <xdr:rowOff>174600</xdr:rowOff>
    </xdr:to>
    <xdr:graphicFrame macro="">
      <xdr:nvGraphicFramePr>
        <xdr:cNvPr id="29" name="Chart 3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389160</xdr:colOff>
      <xdr:row>16</xdr:row>
      <xdr:rowOff>106560</xdr:rowOff>
    </xdr:from>
    <xdr:to>
      <xdr:col>18</xdr:col>
      <xdr:colOff>182880</xdr:colOff>
      <xdr:row>30</xdr:row>
      <xdr:rowOff>166680</xdr:rowOff>
    </xdr:to>
    <xdr:graphicFrame macro="">
      <xdr:nvGraphicFramePr>
        <xdr:cNvPr id="30" name="Chart 4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276840</xdr:colOff>
      <xdr:row>16</xdr:row>
      <xdr:rowOff>109800</xdr:rowOff>
    </xdr:from>
    <xdr:to>
      <xdr:col>6</xdr:col>
      <xdr:colOff>257400</xdr:colOff>
      <xdr:row>30</xdr:row>
      <xdr:rowOff>172080</xdr:rowOff>
    </xdr:to>
    <xdr:graphicFrame macro="">
      <xdr:nvGraphicFramePr>
        <xdr:cNvPr id="31" name="Chart 5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307440</xdr:colOff>
      <xdr:row>16</xdr:row>
      <xdr:rowOff>146160</xdr:rowOff>
    </xdr:from>
    <xdr:to>
      <xdr:col>12</xdr:col>
      <xdr:colOff>198000</xdr:colOff>
      <xdr:row>31</xdr:row>
      <xdr:rowOff>9720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97920</xdr:colOff>
      <xdr:row>18</xdr:row>
      <xdr:rowOff>104040</xdr:rowOff>
    </xdr:from>
    <xdr:to>
      <xdr:col>19</xdr:col>
      <xdr:colOff>696600</xdr:colOff>
      <xdr:row>32</xdr:row>
      <xdr:rowOff>12600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4"/>
  <sheetViews>
    <sheetView tabSelected="1" zoomScaleNormal="100" workbookViewId="0">
      <selection activeCell="V33" sqref="V33"/>
    </sheetView>
  </sheetViews>
  <sheetFormatPr defaultColWidth="8.6640625" defaultRowHeight="14.4" x14ac:dyDescent="0.3"/>
  <sheetData>
    <row r="1" spans="1:24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5</v>
      </c>
      <c r="L1" s="9" t="s">
        <v>6</v>
      </c>
      <c r="M1" s="9" t="s">
        <v>7</v>
      </c>
      <c r="N1" s="9" t="s">
        <v>8</v>
      </c>
      <c r="O1" s="9" t="s">
        <v>9</v>
      </c>
      <c r="P1" s="10" t="s">
        <v>10</v>
      </c>
      <c r="Q1" s="10" t="s">
        <v>11</v>
      </c>
      <c r="R1" s="9" t="s">
        <v>12</v>
      </c>
      <c r="S1" s="9" t="s">
        <v>13</v>
      </c>
      <c r="U1" t="s">
        <v>0</v>
      </c>
      <c r="V1" t="s">
        <v>14</v>
      </c>
      <c r="W1" t="s">
        <v>15</v>
      </c>
      <c r="X1" t="s">
        <v>14</v>
      </c>
    </row>
    <row r="2" spans="1:24" x14ac:dyDescent="0.3">
      <c r="A2" s="7">
        <v>65536</v>
      </c>
      <c r="B2" s="7">
        <v>5</v>
      </c>
      <c r="C2" s="7">
        <v>1</v>
      </c>
      <c r="D2" s="7">
        <v>16</v>
      </c>
      <c r="E2" s="7">
        <v>5.3834999999999997</v>
      </c>
      <c r="F2" s="7">
        <v>6.6350000000000003E-3</v>
      </c>
      <c r="G2" s="7">
        <v>8.6499999999999999E-4</v>
      </c>
      <c r="H2" s="7">
        <v>3.7889999999999998E-3</v>
      </c>
      <c r="I2" s="7">
        <v>3.3700000000000001E-4</v>
      </c>
      <c r="J2" s="7">
        <v>7.8700000000000005E-4</v>
      </c>
      <c r="K2" s="7">
        <f t="shared" ref="K2:K16" si="0">G2+H2+I2</f>
        <v>4.9909999999999998E-3</v>
      </c>
      <c r="L2" s="7">
        <f t="shared" ref="L2:L16" si="1">G2+I2</f>
        <v>1.2019999999999999E-3</v>
      </c>
      <c r="M2" s="7">
        <f t="shared" ref="M2:M16" si="2">H2</f>
        <v>3.7889999999999998E-3</v>
      </c>
      <c r="N2" s="7">
        <f t="shared" ref="N2:N16" si="3">I2</f>
        <v>3.3700000000000001E-4</v>
      </c>
      <c r="O2" s="7">
        <f t="shared" ref="O2:O16" si="4">J2</f>
        <v>7.8700000000000005E-4</v>
      </c>
      <c r="P2" s="7">
        <f>ROUND(G2/F2,2)</f>
        <v>0.13</v>
      </c>
      <c r="Q2" s="7">
        <f>ROUND(H2/F2,2)</f>
        <v>0.56999999999999995</v>
      </c>
      <c r="R2" s="7">
        <f t="shared" ref="R2:R16" si="5">ROUND(N2/L2,2)</f>
        <v>0.28000000000000003</v>
      </c>
      <c r="S2" s="7">
        <f t="shared" ref="S2:S16" si="6">ROUND(O2/L2,2)</f>
        <v>0.65</v>
      </c>
      <c r="U2" s="7">
        <v>65536</v>
      </c>
      <c r="V2" s="7">
        <f>P2</f>
        <v>0.13</v>
      </c>
      <c r="W2" s="7">
        <f>P3</f>
        <v>0.47</v>
      </c>
      <c r="X2" s="7">
        <f>P4</f>
        <v>0.75</v>
      </c>
    </row>
    <row r="3" spans="1:24" x14ac:dyDescent="0.3">
      <c r="A3" s="7">
        <v>65536</v>
      </c>
      <c r="B3" s="7">
        <v>5</v>
      </c>
      <c r="C3" s="7">
        <v>0</v>
      </c>
      <c r="D3" s="7">
        <v>64</v>
      </c>
      <c r="E3" s="7">
        <v>5.5704000000000002</v>
      </c>
      <c r="F3" s="7">
        <v>6.6379999999999998E-3</v>
      </c>
      <c r="G3" s="7">
        <v>3.0969999999999999E-3</v>
      </c>
      <c r="H3" s="7">
        <v>1.8619999999999999E-3</v>
      </c>
      <c r="I3" s="7">
        <v>2.8299999999999999E-4</v>
      </c>
      <c r="J3" s="7">
        <v>3.0400000000000002E-3</v>
      </c>
      <c r="K3" s="7">
        <f t="shared" si="0"/>
        <v>5.2420000000000001E-3</v>
      </c>
      <c r="L3" s="7">
        <f t="shared" si="1"/>
        <v>3.3799999999999998E-3</v>
      </c>
      <c r="M3" s="7">
        <f t="shared" si="2"/>
        <v>1.8619999999999999E-3</v>
      </c>
      <c r="N3" s="7">
        <f t="shared" si="3"/>
        <v>2.8299999999999999E-4</v>
      </c>
      <c r="O3" s="7">
        <f t="shared" si="4"/>
        <v>3.0400000000000002E-3</v>
      </c>
      <c r="P3" s="7">
        <f>ROUND(G3/F3,2)</f>
        <v>0.47</v>
      </c>
      <c r="Q3" s="7">
        <f>ROUND(H3/F3,2)</f>
        <v>0.28000000000000003</v>
      </c>
      <c r="R3" s="7">
        <f t="shared" si="5"/>
        <v>0.08</v>
      </c>
      <c r="S3" s="7">
        <f t="shared" si="6"/>
        <v>0.9</v>
      </c>
      <c r="U3" s="7">
        <v>262144</v>
      </c>
      <c r="V3" s="7">
        <f>P5</f>
        <v>0.12</v>
      </c>
      <c r="W3" s="7">
        <f>P6</f>
        <v>0.47</v>
      </c>
      <c r="X3" s="7">
        <f>P7</f>
        <v>0.88</v>
      </c>
    </row>
    <row r="4" spans="1:24" x14ac:dyDescent="0.3">
      <c r="A4" s="7">
        <v>65536</v>
      </c>
      <c r="B4" s="7">
        <v>5</v>
      </c>
      <c r="C4" s="7">
        <v>-1</v>
      </c>
      <c r="D4" s="7">
        <v>256</v>
      </c>
      <c r="E4" s="7">
        <v>13.3284</v>
      </c>
      <c r="F4" s="7">
        <v>1.4626999999999999E-2</v>
      </c>
      <c r="G4" s="7">
        <v>1.099E-2</v>
      </c>
      <c r="H4" s="7">
        <v>1.542E-3</v>
      </c>
      <c r="I4" s="7">
        <v>3.59E-4</v>
      </c>
      <c r="J4" s="7">
        <v>1.091E-2</v>
      </c>
      <c r="K4" s="7">
        <f t="shared" si="0"/>
        <v>1.2891E-2</v>
      </c>
      <c r="L4" s="7">
        <f t="shared" si="1"/>
        <v>1.1349E-2</v>
      </c>
      <c r="M4" s="7">
        <f t="shared" si="2"/>
        <v>1.542E-3</v>
      </c>
      <c r="N4" s="7">
        <f t="shared" si="3"/>
        <v>3.59E-4</v>
      </c>
      <c r="O4" s="7">
        <f t="shared" si="4"/>
        <v>1.091E-2</v>
      </c>
      <c r="P4" s="7">
        <f>ROUND(G4/F4,2)</f>
        <v>0.75</v>
      </c>
      <c r="Q4" s="7">
        <f>ROUND(H4/F4,2)</f>
        <v>0.11</v>
      </c>
      <c r="R4" s="7">
        <f t="shared" si="5"/>
        <v>0.03</v>
      </c>
      <c r="S4" s="7">
        <f t="shared" si="6"/>
        <v>0.96</v>
      </c>
      <c r="U4" s="7">
        <v>1048576</v>
      </c>
      <c r="V4" s="7">
        <f>P8</f>
        <v>0.13</v>
      </c>
      <c r="W4" s="7">
        <f>P9</f>
        <v>0.49</v>
      </c>
      <c r="X4" s="7">
        <f>P10</f>
        <v>0.82</v>
      </c>
    </row>
    <row r="5" spans="1:24" x14ac:dyDescent="0.3">
      <c r="A5" s="7">
        <v>262144</v>
      </c>
      <c r="B5" s="7">
        <v>6</v>
      </c>
      <c r="C5" s="7">
        <v>1</v>
      </c>
      <c r="D5" s="7">
        <v>16</v>
      </c>
      <c r="E5" s="7">
        <v>14.997999999999999</v>
      </c>
      <c r="F5" s="7">
        <v>1.8151E-2</v>
      </c>
      <c r="G5" s="7">
        <v>2.2179999999999999E-3</v>
      </c>
      <c r="H5" s="7">
        <v>1.1639999999999999E-2</v>
      </c>
      <c r="I5" s="7">
        <v>7.36E-4</v>
      </c>
      <c r="J5" s="7">
        <v>2.1429999999999999E-3</v>
      </c>
      <c r="K5" s="7">
        <f t="shared" si="0"/>
        <v>1.4593999999999999E-2</v>
      </c>
      <c r="L5" s="7">
        <f t="shared" si="1"/>
        <v>2.954E-3</v>
      </c>
      <c r="M5" s="7">
        <f t="shared" si="2"/>
        <v>1.1639999999999999E-2</v>
      </c>
      <c r="N5" s="7">
        <f t="shared" si="3"/>
        <v>7.36E-4</v>
      </c>
      <c r="O5" s="7">
        <f t="shared" si="4"/>
        <v>2.1429999999999999E-3</v>
      </c>
      <c r="P5" s="7">
        <f>ROUND(G5/F5,2)</f>
        <v>0.12</v>
      </c>
      <c r="Q5" s="7">
        <f>ROUND(H5/F5,2)</f>
        <v>0.64</v>
      </c>
      <c r="R5" s="7">
        <f t="shared" si="5"/>
        <v>0.25</v>
      </c>
      <c r="S5" s="7">
        <f t="shared" si="6"/>
        <v>0.73</v>
      </c>
      <c r="U5" s="7">
        <v>4194304</v>
      </c>
      <c r="V5" s="7">
        <f>P11</f>
        <v>0.13</v>
      </c>
      <c r="W5" s="7">
        <f>P12</f>
        <v>0.49</v>
      </c>
      <c r="X5" s="7">
        <f>P13</f>
        <v>0.82</v>
      </c>
    </row>
    <row r="6" spans="1:24" x14ac:dyDescent="0.3">
      <c r="A6" s="7">
        <v>262144</v>
      </c>
      <c r="B6" s="7">
        <v>6</v>
      </c>
      <c r="C6" s="7">
        <v>0</v>
      </c>
      <c r="D6" s="7">
        <v>64</v>
      </c>
      <c r="E6" s="7">
        <v>16.646699999999999</v>
      </c>
      <c r="F6" s="7">
        <v>1.9678000000000001E-2</v>
      </c>
      <c r="G6" s="7">
        <v>9.2230000000000003E-3</v>
      </c>
      <c r="H6" s="7">
        <v>6.2659999999999999E-3</v>
      </c>
      <c r="I6" s="7">
        <v>7.3200000000000001E-4</v>
      </c>
      <c r="J6" s="7">
        <v>9.1400000000000006E-3</v>
      </c>
      <c r="K6" s="7">
        <f t="shared" si="0"/>
        <v>1.6220999999999999E-2</v>
      </c>
      <c r="L6" s="7">
        <f t="shared" si="1"/>
        <v>9.9550000000000003E-3</v>
      </c>
      <c r="M6" s="7">
        <f t="shared" si="2"/>
        <v>6.2659999999999999E-3</v>
      </c>
      <c r="N6" s="7">
        <f t="shared" si="3"/>
        <v>7.3200000000000001E-4</v>
      </c>
      <c r="O6" s="7">
        <f t="shared" si="4"/>
        <v>9.1400000000000006E-3</v>
      </c>
      <c r="P6" s="7">
        <f>ROUND(G6/F6,2)</f>
        <v>0.47</v>
      </c>
      <c r="Q6" s="7">
        <f>ROUND(H6/F6,2)</f>
        <v>0.32</v>
      </c>
      <c r="R6" s="7">
        <f t="shared" si="5"/>
        <v>7.0000000000000007E-2</v>
      </c>
      <c r="S6" s="7">
        <f t="shared" si="6"/>
        <v>0.92</v>
      </c>
      <c r="U6" s="7">
        <v>16777216</v>
      </c>
      <c r="V6" s="7">
        <f>P14</f>
        <v>0.12</v>
      </c>
      <c r="W6" s="7">
        <f>P15</f>
        <v>0.49</v>
      </c>
      <c r="X6" s="7">
        <f>P16</f>
        <v>0.82</v>
      </c>
    </row>
    <row r="7" spans="1:24" x14ac:dyDescent="0.3">
      <c r="A7" s="7">
        <v>262144</v>
      </c>
      <c r="B7" s="7">
        <v>6</v>
      </c>
      <c r="C7" s="7">
        <v>-1</v>
      </c>
      <c r="D7" s="7">
        <v>256</v>
      </c>
      <c r="E7" s="7">
        <v>41.640799999999999</v>
      </c>
      <c r="F7" s="7">
        <v>4.4726000000000002E-2</v>
      </c>
      <c r="G7" s="7">
        <v>3.569E-2</v>
      </c>
      <c r="H7" s="7">
        <v>4.7549999999999997E-3</v>
      </c>
      <c r="I7" s="7">
        <v>7.5199999999999996E-4</v>
      </c>
      <c r="J7" s="7">
        <v>3.5604999999999998E-2</v>
      </c>
      <c r="K7" s="7">
        <f t="shared" si="0"/>
        <v>4.1197000000000004E-2</v>
      </c>
      <c r="L7" s="7">
        <f t="shared" si="1"/>
        <v>3.6442000000000002E-2</v>
      </c>
      <c r="M7" s="7">
        <f t="shared" si="2"/>
        <v>4.7549999999999997E-3</v>
      </c>
      <c r="N7" s="7">
        <f t="shared" si="3"/>
        <v>7.5199999999999996E-4</v>
      </c>
      <c r="O7" s="7">
        <f t="shared" si="4"/>
        <v>3.5604999999999998E-2</v>
      </c>
      <c r="P7" s="7">
        <f>ROUND(L7/K7,2)</f>
        <v>0.88</v>
      </c>
      <c r="Q7" s="7">
        <f>ROUND(M7/K7,2)</f>
        <v>0.12</v>
      </c>
      <c r="R7" s="7">
        <f t="shared" si="5"/>
        <v>0.02</v>
      </c>
      <c r="S7" s="7">
        <f t="shared" si="6"/>
        <v>0.98</v>
      </c>
    </row>
    <row r="8" spans="1:24" x14ac:dyDescent="0.3">
      <c r="A8" s="7">
        <v>1048576</v>
      </c>
      <c r="B8" s="7">
        <v>7</v>
      </c>
      <c r="C8" s="7">
        <v>1</v>
      </c>
      <c r="D8" s="7">
        <v>16</v>
      </c>
      <c r="E8" s="7">
        <v>63.92</v>
      </c>
      <c r="F8" s="7">
        <v>7.3800000000000004E-2</v>
      </c>
      <c r="G8" s="7">
        <v>9.3749999999999997E-3</v>
      </c>
      <c r="H8" s="7">
        <v>5.1785999999999999E-2</v>
      </c>
      <c r="I8" s="7">
        <v>2.281E-3</v>
      </c>
      <c r="J8" s="7">
        <v>9.2969999999999997E-3</v>
      </c>
      <c r="K8" s="7">
        <f t="shared" si="0"/>
        <v>6.3441999999999998E-2</v>
      </c>
      <c r="L8" s="7">
        <f t="shared" si="1"/>
        <v>1.1656E-2</v>
      </c>
      <c r="M8" s="7">
        <f t="shared" si="2"/>
        <v>5.1785999999999999E-2</v>
      </c>
      <c r="N8" s="7">
        <f t="shared" si="3"/>
        <v>2.281E-3</v>
      </c>
      <c r="O8" s="7">
        <f t="shared" si="4"/>
        <v>9.2969999999999997E-3</v>
      </c>
      <c r="P8" s="7">
        <f t="shared" ref="P8:P16" si="7">ROUND(G8/F8,2)</f>
        <v>0.13</v>
      </c>
      <c r="Q8" s="7">
        <f t="shared" ref="Q8:Q16" si="8">ROUND(H8/F8,2)</f>
        <v>0.7</v>
      </c>
      <c r="R8" s="7">
        <f t="shared" si="5"/>
        <v>0.2</v>
      </c>
      <c r="S8" s="7">
        <f t="shared" si="6"/>
        <v>0.8</v>
      </c>
    </row>
    <row r="9" spans="1:24" x14ac:dyDescent="0.3">
      <c r="A9" s="7">
        <v>1048576</v>
      </c>
      <c r="B9" s="7">
        <v>7</v>
      </c>
      <c r="C9" s="7">
        <v>0</v>
      </c>
      <c r="D9" s="7">
        <v>64</v>
      </c>
      <c r="E9" s="7">
        <v>65.287199999999999</v>
      </c>
      <c r="F9" s="7">
        <v>7.5346999999999997E-2</v>
      </c>
      <c r="G9" s="7">
        <v>3.6749999999999998E-2</v>
      </c>
      <c r="H9" s="7">
        <v>2.579E-2</v>
      </c>
      <c r="I9" s="7">
        <v>2.2669999999999999E-3</v>
      </c>
      <c r="J9" s="7">
        <v>3.6666999999999998E-2</v>
      </c>
      <c r="K9" s="7">
        <f t="shared" si="0"/>
        <v>6.4807000000000003E-2</v>
      </c>
      <c r="L9" s="7">
        <f t="shared" si="1"/>
        <v>3.9016999999999996E-2</v>
      </c>
      <c r="M9" s="7">
        <f t="shared" si="2"/>
        <v>2.579E-2</v>
      </c>
      <c r="N9" s="7">
        <f t="shared" si="3"/>
        <v>2.2669999999999999E-3</v>
      </c>
      <c r="O9" s="7">
        <f t="shared" si="4"/>
        <v>3.6666999999999998E-2</v>
      </c>
      <c r="P9" s="7">
        <f t="shared" si="7"/>
        <v>0.49</v>
      </c>
      <c r="Q9" s="7">
        <f t="shared" si="8"/>
        <v>0.34</v>
      </c>
      <c r="R9" s="7">
        <f t="shared" si="5"/>
        <v>0.06</v>
      </c>
      <c r="S9" s="7">
        <f t="shared" si="6"/>
        <v>0.94</v>
      </c>
    </row>
    <row r="10" spans="1:24" x14ac:dyDescent="0.3">
      <c r="A10" s="7">
        <v>1048576</v>
      </c>
      <c r="B10" s="7">
        <v>7</v>
      </c>
      <c r="C10" s="7">
        <v>-1</v>
      </c>
      <c r="D10" s="7">
        <v>256</v>
      </c>
      <c r="E10" s="7">
        <v>156.85890000000001</v>
      </c>
      <c r="F10" s="7">
        <v>0.16677700000000001</v>
      </c>
      <c r="G10" s="7">
        <v>0.13630500000000001</v>
      </c>
      <c r="H10" s="7">
        <v>1.7829999999999999E-2</v>
      </c>
      <c r="I10" s="7">
        <v>2.2269999999999998E-3</v>
      </c>
      <c r="J10" s="7">
        <v>0.13621</v>
      </c>
      <c r="K10" s="7">
        <f t="shared" si="0"/>
        <v>0.15636200000000003</v>
      </c>
      <c r="L10" s="7">
        <f t="shared" si="1"/>
        <v>0.13853200000000002</v>
      </c>
      <c r="M10" s="7">
        <f t="shared" si="2"/>
        <v>1.7829999999999999E-2</v>
      </c>
      <c r="N10" s="7">
        <f t="shared" si="3"/>
        <v>2.2269999999999998E-3</v>
      </c>
      <c r="O10" s="7">
        <f t="shared" si="4"/>
        <v>0.13621</v>
      </c>
      <c r="P10" s="7">
        <f t="shared" si="7"/>
        <v>0.82</v>
      </c>
      <c r="Q10" s="7">
        <f t="shared" si="8"/>
        <v>0.11</v>
      </c>
      <c r="R10" s="7">
        <f t="shared" si="5"/>
        <v>0.02</v>
      </c>
      <c r="S10" s="7">
        <f t="shared" si="6"/>
        <v>0.98</v>
      </c>
    </row>
    <row r="11" spans="1:24" x14ac:dyDescent="0.3">
      <c r="A11" s="7">
        <v>4194304</v>
      </c>
      <c r="B11" s="7">
        <v>8</v>
      </c>
      <c r="C11" s="7">
        <v>1</v>
      </c>
      <c r="D11" s="7">
        <v>16</v>
      </c>
      <c r="E11" s="7">
        <v>229.78790000000001</v>
      </c>
      <c r="F11" s="7">
        <v>0.26780100000000001</v>
      </c>
      <c r="G11" s="7">
        <v>3.3513000000000001E-2</v>
      </c>
      <c r="H11" s="7">
        <v>0.18731500000000001</v>
      </c>
      <c r="I11" s="7">
        <v>8.4489999999999999E-3</v>
      </c>
      <c r="J11" s="7">
        <v>3.3425999999999997E-2</v>
      </c>
      <c r="K11" s="7">
        <f t="shared" si="0"/>
        <v>0.22927700000000004</v>
      </c>
      <c r="L11" s="7">
        <f t="shared" si="1"/>
        <v>4.1961999999999999E-2</v>
      </c>
      <c r="M11" s="7">
        <f t="shared" si="2"/>
        <v>0.18731500000000001</v>
      </c>
      <c r="N11" s="7">
        <f t="shared" si="3"/>
        <v>8.4489999999999999E-3</v>
      </c>
      <c r="O11" s="7">
        <f t="shared" si="4"/>
        <v>3.3425999999999997E-2</v>
      </c>
      <c r="P11" s="7">
        <f t="shared" si="7"/>
        <v>0.13</v>
      </c>
      <c r="Q11" s="7">
        <f t="shared" si="8"/>
        <v>0.7</v>
      </c>
      <c r="R11" s="7">
        <f t="shared" si="5"/>
        <v>0.2</v>
      </c>
      <c r="S11" s="7">
        <f t="shared" si="6"/>
        <v>0.8</v>
      </c>
    </row>
    <row r="12" spans="1:24" x14ac:dyDescent="0.3">
      <c r="A12" s="7">
        <v>4194304</v>
      </c>
      <c r="B12" s="7">
        <v>8</v>
      </c>
      <c r="C12" s="7">
        <v>0</v>
      </c>
      <c r="D12" s="7">
        <v>64</v>
      </c>
      <c r="E12" s="7">
        <v>237.0608</v>
      </c>
      <c r="F12" s="7">
        <v>0.27390999999999999</v>
      </c>
      <c r="G12" s="7">
        <v>0.13433100000000001</v>
      </c>
      <c r="H12" s="7">
        <v>9.3898999999999996E-2</v>
      </c>
      <c r="I12" s="7">
        <v>8.319E-3</v>
      </c>
      <c r="J12" s="7">
        <v>0.134242</v>
      </c>
      <c r="K12" s="7">
        <f t="shared" si="0"/>
        <v>0.23654899999999998</v>
      </c>
      <c r="L12" s="7">
        <f t="shared" si="1"/>
        <v>0.14265</v>
      </c>
      <c r="M12" s="7">
        <f t="shared" si="2"/>
        <v>9.3898999999999996E-2</v>
      </c>
      <c r="N12" s="7">
        <f t="shared" si="3"/>
        <v>8.319E-3</v>
      </c>
      <c r="O12" s="7">
        <f t="shared" si="4"/>
        <v>0.134242</v>
      </c>
      <c r="P12" s="7">
        <f t="shared" si="7"/>
        <v>0.49</v>
      </c>
      <c r="Q12" s="7">
        <f t="shared" si="8"/>
        <v>0.34</v>
      </c>
      <c r="R12" s="7">
        <f t="shared" si="5"/>
        <v>0.06</v>
      </c>
      <c r="S12" s="7">
        <f t="shared" si="6"/>
        <v>0.94</v>
      </c>
    </row>
    <row r="13" spans="1:24" x14ac:dyDescent="0.3">
      <c r="A13" s="7">
        <v>4194304</v>
      </c>
      <c r="B13" s="7">
        <v>8</v>
      </c>
      <c r="C13" s="7">
        <v>-1</v>
      </c>
      <c r="D13" s="7">
        <v>256</v>
      </c>
      <c r="E13" s="7">
        <v>611.51779999999997</v>
      </c>
      <c r="F13" s="7">
        <v>0.65283500000000005</v>
      </c>
      <c r="G13" s="7">
        <v>0.53222800000000003</v>
      </c>
      <c r="H13" s="7">
        <v>6.9223999999999994E-2</v>
      </c>
      <c r="I13" s="7">
        <v>9.5670000000000009E-3</v>
      </c>
      <c r="J13" s="7">
        <v>0.53213900000000003</v>
      </c>
      <c r="K13" s="7">
        <f t="shared" si="0"/>
        <v>0.61101899999999998</v>
      </c>
      <c r="L13" s="7">
        <f t="shared" si="1"/>
        <v>0.54179500000000003</v>
      </c>
      <c r="M13" s="7">
        <f t="shared" si="2"/>
        <v>6.9223999999999994E-2</v>
      </c>
      <c r="N13" s="7">
        <f t="shared" si="3"/>
        <v>9.5670000000000009E-3</v>
      </c>
      <c r="O13" s="7">
        <f t="shared" si="4"/>
        <v>0.53213900000000003</v>
      </c>
      <c r="P13" s="7">
        <f t="shared" si="7"/>
        <v>0.82</v>
      </c>
      <c r="Q13" s="7">
        <f t="shared" si="8"/>
        <v>0.11</v>
      </c>
      <c r="R13" s="7">
        <f t="shared" si="5"/>
        <v>0.02</v>
      </c>
      <c r="S13" s="7">
        <f t="shared" si="6"/>
        <v>0.98</v>
      </c>
    </row>
    <row r="14" spans="1:24" x14ac:dyDescent="0.3">
      <c r="A14" s="7">
        <v>16777216</v>
      </c>
      <c r="B14" s="7">
        <v>9</v>
      </c>
      <c r="C14" s="7">
        <v>1</v>
      </c>
      <c r="D14" s="7">
        <v>16</v>
      </c>
      <c r="E14" s="7">
        <v>921.42349999999999</v>
      </c>
      <c r="F14" s="7">
        <v>1.0960890000000001</v>
      </c>
      <c r="G14" s="7">
        <v>0.13233900000000001</v>
      </c>
      <c r="H14" s="7">
        <v>0.752471</v>
      </c>
      <c r="I14" s="7">
        <v>3.6028999999999999E-2</v>
      </c>
      <c r="J14" s="7">
        <v>0.13223799999999999</v>
      </c>
      <c r="K14" s="7">
        <f t="shared" si="0"/>
        <v>0.92083899999999996</v>
      </c>
      <c r="L14" s="7">
        <f t="shared" si="1"/>
        <v>0.16836800000000002</v>
      </c>
      <c r="M14" s="7">
        <f t="shared" si="2"/>
        <v>0.752471</v>
      </c>
      <c r="N14" s="7">
        <f t="shared" si="3"/>
        <v>3.6028999999999999E-2</v>
      </c>
      <c r="O14" s="7">
        <f t="shared" si="4"/>
        <v>0.13223799999999999</v>
      </c>
      <c r="P14" s="7">
        <f t="shared" si="7"/>
        <v>0.12</v>
      </c>
      <c r="Q14" s="7">
        <f t="shared" si="8"/>
        <v>0.69</v>
      </c>
      <c r="R14" s="7">
        <f t="shared" si="5"/>
        <v>0.21</v>
      </c>
      <c r="S14" s="7">
        <f t="shared" si="6"/>
        <v>0.79</v>
      </c>
    </row>
    <row r="15" spans="1:24" x14ac:dyDescent="0.3">
      <c r="A15" s="7">
        <v>16777216</v>
      </c>
      <c r="B15" s="7">
        <v>9</v>
      </c>
      <c r="C15" s="7">
        <v>0</v>
      </c>
      <c r="D15" s="7">
        <v>64</v>
      </c>
      <c r="E15" s="7">
        <v>930.37760000000003</v>
      </c>
      <c r="F15" s="7">
        <v>1.078182</v>
      </c>
      <c r="G15" s="7">
        <v>0.52680199999999999</v>
      </c>
      <c r="H15" s="7">
        <v>0.37046200000000001</v>
      </c>
      <c r="I15" s="7">
        <v>3.2583000000000001E-2</v>
      </c>
      <c r="J15" s="7">
        <v>0.52669900000000003</v>
      </c>
      <c r="K15" s="7">
        <f t="shared" si="0"/>
        <v>0.92984700000000009</v>
      </c>
      <c r="L15" s="7">
        <f t="shared" si="1"/>
        <v>0.55938500000000002</v>
      </c>
      <c r="M15" s="7">
        <f t="shared" si="2"/>
        <v>0.37046200000000001</v>
      </c>
      <c r="N15" s="7">
        <f t="shared" si="3"/>
        <v>3.2583000000000001E-2</v>
      </c>
      <c r="O15" s="7">
        <f t="shared" si="4"/>
        <v>0.52669900000000003</v>
      </c>
      <c r="P15" s="7">
        <f t="shared" si="7"/>
        <v>0.49</v>
      </c>
      <c r="Q15" s="7">
        <f t="shared" si="8"/>
        <v>0.34</v>
      </c>
      <c r="R15" s="7">
        <f t="shared" si="5"/>
        <v>0.06</v>
      </c>
      <c r="S15" s="7">
        <f t="shared" si="6"/>
        <v>0.94</v>
      </c>
    </row>
    <row r="16" spans="1:24" x14ac:dyDescent="0.3">
      <c r="A16" s="7">
        <v>16777216</v>
      </c>
      <c r="B16" s="7">
        <v>9</v>
      </c>
      <c r="C16" s="7">
        <v>-1</v>
      </c>
      <c r="D16" s="7">
        <v>256</v>
      </c>
      <c r="E16" s="7">
        <v>2449.2829999999999</v>
      </c>
      <c r="F16" s="7">
        <v>2.6018400000000002</v>
      </c>
      <c r="G16" s="7">
        <v>2.1371380000000002</v>
      </c>
      <c r="H16" s="7">
        <v>0.27735399999999999</v>
      </c>
      <c r="I16" s="7">
        <v>3.4201000000000002E-2</v>
      </c>
      <c r="J16" s="7">
        <v>2.1370429999999998</v>
      </c>
      <c r="K16" s="7">
        <f t="shared" si="0"/>
        <v>2.448693</v>
      </c>
      <c r="L16" s="7">
        <f t="shared" si="1"/>
        <v>2.1713390000000001</v>
      </c>
      <c r="M16" s="7">
        <f t="shared" si="2"/>
        <v>0.27735399999999999</v>
      </c>
      <c r="N16" s="7">
        <f t="shared" si="3"/>
        <v>3.4201000000000002E-2</v>
      </c>
      <c r="O16" s="7">
        <f t="shared" si="4"/>
        <v>2.1370429999999998</v>
      </c>
      <c r="P16" s="7">
        <f t="shared" si="7"/>
        <v>0.82</v>
      </c>
      <c r="Q16" s="7">
        <f t="shared" si="8"/>
        <v>0.11</v>
      </c>
      <c r="R16" s="7">
        <f t="shared" si="5"/>
        <v>0.02</v>
      </c>
      <c r="S16" s="7">
        <f t="shared" si="6"/>
        <v>0.98</v>
      </c>
    </row>
    <row r="40" spans="1:19" x14ac:dyDescent="0.3">
      <c r="A40" s="7" t="s">
        <v>0</v>
      </c>
      <c r="B40" s="7" t="s">
        <v>1</v>
      </c>
      <c r="C40" s="7" t="s">
        <v>2</v>
      </c>
      <c r="D40" s="7" t="s">
        <v>3</v>
      </c>
      <c r="E40" s="7" t="s">
        <v>4</v>
      </c>
      <c r="F40" s="7" t="s">
        <v>5</v>
      </c>
      <c r="G40" s="7" t="s">
        <v>6</v>
      </c>
      <c r="H40" s="7" t="s">
        <v>7</v>
      </c>
      <c r="I40" s="7" t="s">
        <v>8</v>
      </c>
      <c r="J40" s="7" t="s">
        <v>9</v>
      </c>
      <c r="K40" s="7" t="s">
        <v>5</v>
      </c>
      <c r="L40" s="7" t="s">
        <v>6</v>
      </c>
      <c r="M40" s="7" t="s">
        <v>7</v>
      </c>
      <c r="N40" s="7" t="s">
        <v>8</v>
      </c>
      <c r="O40" s="7" t="s">
        <v>9</v>
      </c>
      <c r="P40" s="7" t="s">
        <v>10</v>
      </c>
      <c r="Q40" s="7" t="s">
        <v>11</v>
      </c>
      <c r="R40" s="7" t="s">
        <v>12</v>
      </c>
      <c r="S40" s="7" t="s">
        <v>13</v>
      </c>
    </row>
    <row r="41" spans="1:19" x14ac:dyDescent="0.3">
      <c r="A41" s="7">
        <v>65536</v>
      </c>
      <c r="B41" s="7">
        <v>5</v>
      </c>
      <c r="C41" s="7">
        <v>-1</v>
      </c>
      <c r="D41" s="7">
        <v>256</v>
      </c>
      <c r="E41" s="7">
        <v>13.3284</v>
      </c>
      <c r="F41" s="7">
        <v>1.4626999999999999E-2</v>
      </c>
      <c r="G41" s="7">
        <v>1.099E-2</v>
      </c>
      <c r="H41" s="7">
        <v>1.542E-3</v>
      </c>
      <c r="I41" s="7">
        <v>3.59E-4</v>
      </c>
      <c r="J41" s="7">
        <v>1.091E-2</v>
      </c>
      <c r="K41" s="7">
        <v>1.2891E-2</v>
      </c>
      <c r="L41" s="7">
        <v>1.1349E-2</v>
      </c>
      <c r="M41" s="7">
        <v>1.542E-3</v>
      </c>
      <c r="N41" s="7">
        <v>3.59E-4</v>
      </c>
      <c r="O41" s="7">
        <v>1.091E-2</v>
      </c>
      <c r="P41" s="7">
        <v>0.75</v>
      </c>
      <c r="Q41" s="7">
        <v>0.11</v>
      </c>
      <c r="R41" s="7">
        <f t="shared" ref="R41:R55" si="9">N41/L41</f>
        <v>3.1632742972949157E-2</v>
      </c>
      <c r="S41" s="7">
        <f t="shared" ref="S41:S55" si="10">O41/L41</f>
        <v>0.9613181778130232</v>
      </c>
    </row>
    <row r="42" spans="1:19" x14ac:dyDescent="0.3">
      <c r="A42" s="7">
        <v>262144</v>
      </c>
      <c r="B42" s="7">
        <v>6</v>
      </c>
      <c r="C42" s="7">
        <v>-1</v>
      </c>
      <c r="D42" s="7">
        <v>256</v>
      </c>
      <c r="E42" s="7">
        <v>41.640799999999999</v>
      </c>
      <c r="F42" s="7">
        <v>4.4726000000000002E-2</v>
      </c>
      <c r="G42" s="7">
        <v>3.569E-2</v>
      </c>
      <c r="H42" s="7">
        <v>4.7549999999999997E-3</v>
      </c>
      <c r="I42" s="7">
        <v>7.5199999999999996E-4</v>
      </c>
      <c r="J42" s="7">
        <v>3.5604999999999998E-2</v>
      </c>
      <c r="K42" s="7">
        <v>4.1196999999999998E-2</v>
      </c>
      <c r="L42" s="7">
        <v>3.6442000000000002E-2</v>
      </c>
      <c r="M42" s="7">
        <v>4.7549999999999997E-3</v>
      </c>
      <c r="N42" s="7">
        <v>7.5199999999999996E-4</v>
      </c>
      <c r="O42" s="7">
        <v>3.5604999999999998E-2</v>
      </c>
      <c r="P42" s="7">
        <v>0.88</v>
      </c>
      <c r="Q42" s="7">
        <v>0.12</v>
      </c>
      <c r="R42" s="7">
        <f t="shared" si="9"/>
        <v>2.0635530431919211E-2</v>
      </c>
      <c r="S42" s="7">
        <f t="shared" si="10"/>
        <v>0.97703199604851532</v>
      </c>
    </row>
    <row r="43" spans="1:19" x14ac:dyDescent="0.3">
      <c r="A43" s="7">
        <v>1048576</v>
      </c>
      <c r="B43" s="7">
        <v>7</v>
      </c>
      <c r="C43" s="7">
        <v>-1</v>
      </c>
      <c r="D43" s="7">
        <v>256</v>
      </c>
      <c r="E43" s="7">
        <v>156.85890000000001</v>
      </c>
      <c r="F43" s="7">
        <v>0.16677700000000001</v>
      </c>
      <c r="G43" s="7">
        <v>0.13630500000000001</v>
      </c>
      <c r="H43" s="7">
        <v>1.7829999999999999E-2</v>
      </c>
      <c r="I43" s="7">
        <v>2.2269999999999998E-3</v>
      </c>
      <c r="J43" s="7">
        <v>0.13621</v>
      </c>
      <c r="K43" s="7">
        <v>0.156362</v>
      </c>
      <c r="L43" s="7">
        <v>0.13853199999999999</v>
      </c>
      <c r="M43" s="7">
        <v>1.7829999999999999E-2</v>
      </c>
      <c r="N43" s="7">
        <v>2.2269999999999998E-3</v>
      </c>
      <c r="O43" s="7">
        <v>0.13621</v>
      </c>
      <c r="P43" s="7">
        <v>0.82</v>
      </c>
      <c r="Q43" s="7">
        <v>0.11</v>
      </c>
      <c r="R43" s="7">
        <f t="shared" si="9"/>
        <v>1.6075708139635606E-2</v>
      </c>
      <c r="S43" s="7">
        <f t="shared" si="10"/>
        <v>0.98323852972598391</v>
      </c>
    </row>
    <row r="44" spans="1:19" x14ac:dyDescent="0.3">
      <c r="A44" s="7">
        <v>4194304</v>
      </c>
      <c r="B44" s="7">
        <v>8</v>
      </c>
      <c r="C44" s="7">
        <v>-1</v>
      </c>
      <c r="D44" s="7">
        <v>256</v>
      </c>
      <c r="E44" s="7">
        <v>611.51779999999997</v>
      </c>
      <c r="F44" s="7">
        <v>0.65283500000000005</v>
      </c>
      <c r="G44" s="7">
        <v>0.53222800000000003</v>
      </c>
      <c r="H44" s="7">
        <v>6.9223999999999994E-2</v>
      </c>
      <c r="I44" s="7">
        <v>9.5670000000000009E-3</v>
      </c>
      <c r="J44" s="7">
        <v>0.53213900000000003</v>
      </c>
      <c r="K44" s="7">
        <v>0.61101899999999998</v>
      </c>
      <c r="L44" s="7">
        <v>0.54179500000000003</v>
      </c>
      <c r="M44" s="7">
        <v>6.9223999999999994E-2</v>
      </c>
      <c r="N44" s="7">
        <v>9.5670000000000009E-3</v>
      </c>
      <c r="O44" s="7">
        <v>0.53213900000000003</v>
      </c>
      <c r="P44" s="7">
        <v>0.82</v>
      </c>
      <c r="Q44" s="7">
        <v>0.11</v>
      </c>
      <c r="R44" s="7">
        <f t="shared" si="9"/>
        <v>1.7657970265506327E-2</v>
      </c>
      <c r="S44" s="7">
        <f t="shared" si="10"/>
        <v>0.9821777609612492</v>
      </c>
    </row>
    <row r="45" spans="1:19" x14ac:dyDescent="0.3">
      <c r="A45" s="7">
        <v>16777216</v>
      </c>
      <c r="B45" s="7">
        <v>9</v>
      </c>
      <c r="C45" s="7">
        <v>-1</v>
      </c>
      <c r="D45" s="7">
        <v>256</v>
      </c>
      <c r="E45" s="7">
        <v>2449.2829999999999</v>
      </c>
      <c r="F45" s="7">
        <v>2.6018400000000002</v>
      </c>
      <c r="G45" s="7">
        <v>2.1371380000000002</v>
      </c>
      <c r="H45" s="7">
        <v>0.27735399999999999</v>
      </c>
      <c r="I45" s="7">
        <v>3.4201000000000002E-2</v>
      </c>
      <c r="J45" s="7">
        <v>2.1370429999999998</v>
      </c>
      <c r="K45" s="7">
        <v>2.448693</v>
      </c>
      <c r="L45" s="7">
        <v>2.1713390000000001</v>
      </c>
      <c r="M45" s="7">
        <v>0.27735399999999999</v>
      </c>
      <c r="N45" s="7">
        <v>3.4201000000000002E-2</v>
      </c>
      <c r="O45" s="7">
        <v>2.1370429999999998</v>
      </c>
      <c r="P45" s="7">
        <v>0.82</v>
      </c>
      <c r="Q45" s="7">
        <v>0.11</v>
      </c>
      <c r="R45" s="7">
        <f t="shared" si="9"/>
        <v>1.5751110259613999E-2</v>
      </c>
      <c r="S45" s="7">
        <f t="shared" si="10"/>
        <v>0.98420513793562392</v>
      </c>
    </row>
    <row r="46" spans="1:19" x14ac:dyDescent="0.3">
      <c r="A46" s="7">
        <v>65536</v>
      </c>
      <c r="B46" s="7">
        <v>5</v>
      </c>
      <c r="C46" s="7">
        <v>0</v>
      </c>
      <c r="D46" s="7">
        <v>64</v>
      </c>
      <c r="E46" s="7">
        <v>5.5704000000000002</v>
      </c>
      <c r="F46" s="7">
        <v>6.6379999999999998E-3</v>
      </c>
      <c r="G46" s="7">
        <v>3.0969999999999999E-3</v>
      </c>
      <c r="H46" s="7">
        <v>1.8619999999999999E-3</v>
      </c>
      <c r="I46" s="7">
        <v>2.8299999999999999E-4</v>
      </c>
      <c r="J46" s="7">
        <v>3.0400000000000002E-3</v>
      </c>
      <c r="K46" s="7">
        <v>5.2420000000000001E-3</v>
      </c>
      <c r="L46" s="7">
        <v>3.3800000000000002E-3</v>
      </c>
      <c r="M46" s="7">
        <v>1.8619999999999999E-3</v>
      </c>
      <c r="N46" s="7">
        <v>2.8299999999999999E-4</v>
      </c>
      <c r="O46" s="7">
        <v>3.0400000000000002E-3</v>
      </c>
      <c r="P46" s="7">
        <v>0.47</v>
      </c>
      <c r="Q46" s="7">
        <v>0.28000000000000003</v>
      </c>
      <c r="R46" s="7">
        <f t="shared" si="9"/>
        <v>8.3727810650887566E-2</v>
      </c>
      <c r="S46" s="7">
        <f t="shared" si="10"/>
        <v>0.89940828402366868</v>
      </c>
    </row>
    <row r="47" spans="1:19" x14ac:dyDescent="0.3">
      <c r="A47" s="7">
        <v>262144</v>
      </c>
      <c r="B47" s="7">
        <v>6</v>
      </c>
      <c r="C47" s="7">
        <v>0</v>
      </c>
      <c r="D47" s="7">
        <v>64</v>
      </c>
      <c r="E47" s="7">
        <v>16.646699999999999</v>
      </c>
      <c r="F47" s="7">
        <v>1.9678000000000001E-2</v>
      </c>
      <c r="G47" s="7">
        <v>9.2230000000000003E-3</v>
      </c>
      <c r="H47" s="7">
        <v>6.2659999999999999E-3</v>
      </c>
      <c r="I47" s="7">
        <v>7.3200000000000001E-4</v>
      </c>
      <c r="J47" s="7">
        <v>9.1400000000000006E-3</v>
      </c>
      <c r="K47" s="7">
        <v>1.6220999999999999E-2</v>
      </c>
      <c r="L47" s="7">
        <v>9.9550000000000003E-3</v>
      </c>
      <c r="M47" s="7">
        <v>6.2659999999999999E-3</v>
      </c>
      <c r="N47" s="7">
        <v>7.3200000000000001E-4</v>
      </c>
      <c r="O47" s="7">
        <v>9.1400000000000006E-3</v>
      </c>
      <c r="P47" s="7">
        <v>0.47</v>
      </c>
      <c r="Q47" s="7">
        <v>0.32</v>
      </c>
      <c r="R47" s="7">
        <f t="shared" si="9"/>
        <v>7.3530889000502253E-2</v>
      </c>
      <c r="S47" s="7">
        <f t="shared" si="10"/>
        <v>0.91813159216474138</v>
      </c>
    </row>
    <row r="48" spans="1:19" x14ac:dyDescent="0.3">
      <c r="A48" s="7">
        <v>1048576</v>
      </c>
      <c r="B48" s="7">
        <v>7</v>
      </c>
      <c r="C48" s="7">
        <v>0</v>
      </c>
      <c r="D48" s="7">
        <v>64</v>
      </c>
      <c r="E48" s="7">
        <v>65.287199999999999</v>
      </c>
      <c r="F48" s="7">
        <v>7.5346999999999997E-2</v>
      </c>
      <c r="G48" s="7">
        <v>3.6749999999999998E-2</v>
      </c>
      <c r="H48" s="7">
        <v>2.579E-2</v>
      </c>
      <c r="I48" s="7">
        <v>2.2669999999999999E-3</v>
      </c>
      <c r="J48" s="7">
        <v>3.6666999999999998E-2</v>
      </c>
      <c r="K48" s="7">
        <v>6.4807000000000003E-2</v>
      </c>
      <c r="L48" s="7">
        <v>3.9017000000000003E-2</v>
      </c>
      <c r="M48" s="7">
        <v>2.579E-2</v>
      </c>
      <c r="N48" s="7">
        <v>2.2669999999999999E-3</v>
      </c>
      <c r="O48" s="7">
        <v>3.6666999999999998E-2</v>
      </c>
      <c r="P48" s="7">
        <v>0.49</v>
      </c>
      <c r="Q48" s="7">
        <v>0.34</v>
      </c>
      <c r="R48" s="7">
        <f t="shared" si="9"/>
        <v>5.8102878232565283E-2</v>
      </c>
      <c r="S48" s="7">
        <f t="shared" si="10"/>
        <v>0.93976984391419116</v>
      </c>
    </row>
    <row r="49" spans="1:19" x14ac:dyDescent="0.3">
      <c r="A49" s="7">
        <v>4194304</v>
      </c>
      <c r="B49" s="7">
        <v>8</v>
      </c>
      <c r="C49" s="7">
        <v>0</v>
      </c>
      <c r="D49" s="7">
        <v>64</v>
      </c>
      <c r="E49" s="7">
        <v>237.0608</v>
      </c>
      <c r="F49" s="7">
        <v>0.27390999999999999</v>
      </c>
      <c r="G49" s="7">
        <v>0.13433100000000001</v>
      </c>
      <c r="H49" s="7">
        <v>9.3898999999999996E-2</v>
      </c>
      <c r="I49" s="7">
        <v>8.319E-3</v>
      </c>
      <c r="J49" s="7">
        <v>0.134242</v>
      </c>
      <c r="K49" s="7">
        <v>0.23654900000000001</v>
      </c>
      <c r="L49" s="7">
        <v>0.14265</v>
      </c>
      <c r="M49" s="7">
        <v>9.3898999999999996E-2</v>
      </c>
      <c r="N49" s="7">
        <v>8.319E-3</v>
      </c>
      <c r="O49" s="7">
        <v>0.134242</v>
      </c>
      <c r="P49" s="7">
        <v>0.49</v>
      </c>
      <c r="Q49" s="7">
        <v>0.34</v>
      </c>
      <c r="R49" s="7">
        <f t="shared" si="9"/>
        <v>5.8317560462670871E-2</v>
      </c>
      <c r="S49" s="7">
        <f t="shared" si="10"/>
        <v>0.94105853487556956</v>
      </c>
    </row>
    <row r="50" spans="1:19" x14ac:dyDescent="0.3">
      <c r="A50" s="7">
        <v>16777216</v>
      </c>
      <c r="B50" s="7">
        <v>9</v>
      </c>
      <c r="C50" s="7">
        <v>0</v>
      </c>
      <c r="D50" s="7">
        <v>64</v>
      </c>
      <c r="E50" s="7">
        <v>930.37760000000003</v>
      </c>
      <c r="F50" s="7">
        <v>1.078182</v>
      </c>
      <c r="G50" s="7">
        <v>0.52680199999999999</v>
      </c>
      <c r="H50" s="7">
        <v>0.37046200000000001</v>
      </c>
      <c r="I50" s="7">
        <v>3.2583000000000001E-2</v>
      </c>
      <c r="J50" s="7">
        <v>0.52669900000000003</v>
      </c>
      <c r="K50" s="7">
        <v>0.92984699999999998</v>
      </c>
      <c r="L50" s="7">
        <v>0.55938500000000002</v>
      </c>
      <c r="M50" s="7">
        <v>0.37046200000000001</v>
      </c>
      <c r="N50" s="7">
        <v>3.2583000000000001E-2</v>
      </c>
      <c r="O50" s="7">
        <v>0.52669900000000003</v>
      </c>
      <c r="P50" s="7">
        <v>0.49</v>
      </c>
      <c r="Q50" s="7">
        <v>0.34</v>
      </c>
      <c r="R50" s="7">
        <f t="shared" si="9"/>
        <v>5.824789724429507E-2</v>
      </c>
      <c r="S50" s="7">
        <f t="shared" si="10"/>
        <v>0.94156797196921616</v>
      </c>
    </row>
    <row r="51" spans="1:19" x14ac:dyDescent="0.3">
      <c r="A51" s="7">
        <v>65536</v>
      </c>
      <c r="B51" s="7">
        <v>5</v>
      </c>
      <c r="C51" s="7">
        <v>1</v>
      </c>
      <c r="D51" s="7">
        <v>16</v>
      </c>
      <c r="E51" s="7">
        <v>5.3834999999999997</v>
      </c>
      <c r="F51" s="7">
        <v>6.6350000000000003E-3</v>
      </c>
      <c r="G51" s="7">
        <v>8.6499999999999999E-4</v>
      </c>
      <c r="H51" s="7">
        <v>3.7889999999999998E-3</v>
      </c>
      <c r="I51" s="7">
        <v>3.3700000000000001E-4</v>
      </c>
      <c r="J51" s="7">
        <v>7.8700000000000005E-4</v>
      </c>
      <c r="K51" s="7">
        <v>4.9909999999999998E-3</v>
      </c>
      <c r="L51" s="7">
        <v>1.2019999999999999E-3</v>
      </c>
      <c r="M51" s="7">
        <v>3.7889999999999998E-3</v>
      </c>
      <c r="N51" s="7">
        <v>3.3700000000000001E-4</v>
      </c>
      <c r="O51" s="7">
        <v>7.8700000000000005E-4</v>
      </c>
      <c r="P51" s="7">
        <v>0.13</v>
      </c>
      <c r="Q51" s="7">
        <v>0.56999999999999995</v>
      </c>
      <c r="R51" s="7">
        <f t="shared" si="9"/>
        <v>0.2803660565723794</v>
      </c>
      <c r="S51" s="7">
        <f t="shared" si="10"/>
        <v>0.65474209650582371</v>
      </c>
    </row>
    <row r="52" spans="1:19" x14ac:dyDescent="0.3">
      <c r="A52" s="7">
        <v>262144</v>
      </c>
      <c r="B52" s="7">
        <v>6</v>
      </c>
      <c r="C52" s="7">
        <v>1</v>
      </c>
      <c r="D52" s="7">
        <v>16</v>
      </c>
      <c r="E52" s="7">
        <v>14.997999999999999</v>
      </c>
      <c r="F52" s="7">
        <v>1.8151E-2</v>
      </c>
      <c r="G52" s="7">
        <v>2.2179999999999999E-3</v>
      </c>
      <c r="H52" s="7">
        <v>1.1639999999999999E-2</v>
      </c>
      <c r="I52" s="7">
        <v>7.36E-4</v>
      </c>
      <c r="J52" s="7">
        <v>2.1429999999999999E-3</v>
      </c>
      <c r="K52" s="7">
        <v>1.4593999999999999E-2</v>
      </c>
      <c r="L52" s="7">
        <v>2.954E-3</v>
      </c>
      <c r="M52" s="7">
        <v>1.1639999999999999E-2</v>
      </c>
      <c r="N52" s="7">
        <v>7.36E-4</v>
      </c>
      <c r="O52" s="7">
        <v>2.1429999999999999E-3</v>
      </c>
      <c r="P52" s="7">
        <v>0.12</v>
      </c>
      <c r="Q52" s="7">
        <v>0.64</v>
      </c>
      <c r="R52" s="7">
        <f t="shared" si="9"/>
        <v>0.24915368991198375</v>
      </c>
      <c r="S52" s="7">
        <f t="shared" si="10"/>
        <v>0.72545700744752872</v>
      </c>
    </row>
    <row r="53" spans="1:19" x14ac:dyDescent="0.3">
      <c r="A53" s="7">
        <v>1048576</v>
      </c>
      <c r="B53" s="7">
        <v>7</v>
      </c>
      <c r="C53" s="7">
        <v>1</v>
      </c>
      <c r="D53" s="7">
        <v>16</v>
      </c>
      <c r="E53" s="7">
        <v>63.92</v>
      </c>
      <c r="F53" s="7">
        <v>7.3800000000000004E-2</v>
      </c>
      <c r="G53" s="7">
        <v>9.3749999999999997E-3</v>
      </c>
      <c r="H53" s="7">
        <v>5.1785999999999999E-2</v>
      </c>
      <c r="I53" s="7">
        <v>2.281E-3</v>
      </c>
      <c r="J53" s="7">
        <v>9.2969999999999997E-3</v>
      </c>
      <c r="K53" s="7">
        <v>6.3441999999999998E-2</v>
      </c>
      <c r="L53" s="7">
        <v>1.1656E-2</v>
      </c>
      <c r="M53" s="7">
        <v>5.1785999999999999E-2</v>
      </c>
      <c r="N53" s="7">
        <v>2.281E-3</v>
      </c>
      <c r="O53" s="7">
        <v>9.2969999999999997E-3</v>
      </c>
      <c r="P53" s="7">
        <v>0.13</v>
      </c>
      <c r="Q53" s="7">
        <v>0.7</v>
      </c>
      <c r="R53" s="7">
        <f t="shared" si="9"/>
        <v>0.19569320521619768</v>
      </c>
      <c r="S53" s="7">
        <f t="shared" si="10"/>
        <v>0.7976149622512011</v>
      </c>
    </row>
    <row r="54" spans="1:19" x14ac:dyDescent="0.3">
      <c r="A54" s="7">
        <v>4194304</v>
      </c>
      <c r="B54" s="7">
        <v>8</v>
      </c>
      <c r="C54" s="7">
        <v>1</v>
      </c>
      <c r="D54" s="7">
        <v>16</v>
      </c>
      <c r="E54" s="7">
        <v>229.78790000000001</v>
      </c>
      <c r="F54" s="7">
        <v>0.26780100000000001</v>
      </c>
      <c r="G54" s="7">
        <v>3.3513000000000001E-2</v>
      </c>
      <c r="H54" s="7">
        <v>0.18731500000000001</v>
      </c>
      <c r="I54" s="7">
        <v>8.4489999999999999E-3</v>
      </c>
      <c r="J54" s="7">
        <v>3.3425999999999997E-2</v>
      </c>
      <c r="K54" s="7">
        <v>0.22927700000000001</v>
      </c>
      <c r="L54" s="7">
        <v>4.1961999999999999E-2</v>
      </c>
      <c r="M54" s="7">
        <v>0.18731500000000001</v>
      </c>
      <c r="N54" s="7">
        <v>8.4489999999999999E-3</v>
      </c>
      <c r="O54" s="7">
        <v>3.3425999999999997E-2</v>
      </c>
      <c r="P54" s="7">
        <v>0.13</v>
      </c>
      <c r="Q54" s="7">
        <v>0.7</v>
      </c>
      <c r="R54" s="7">
        <f t="shared" si="9"/>
        <v>0.20134883942614748</v>
      </c>
      <c r="S54" s="7">
        <f t="shared" si="10"/>
        <v>0.79657785615556931</v>
      </c>
    </row>
    <row r="55" spans="1:19" x14ac:dyDescent="0.3">
      <c r="A55" s="7">
        <v>16777216</v>
      </c>
      <c r="B55" s="7">
        <v>9</v>
      </c>
      <c r="C55" s="7">
        <v>1</v>
      </c>
      <c r="D55" s="7">
        <v>16</v>
      </c>
      <c r="E55" s="7">
        <v>921.42349999999999</v>
      </c>
      <c r="F55" s="7">
        <v>1.0960890000000001</v>
      </c>
      <c r="G55" s="7">
        <v>0.13233900000000001</v>
      </c>
      <c r="H55" s="7">
        <v>0.752471</v>
      </c>
      <c r="I55" s="7">
        <v>3.6028999999999999E-2</v>
      </c>
      <c r="J55" s="7">
        <v>0.13223799999999999</v>
      </c>
      <c r="K55" s="7">
        <v>0.92083899999999996</v>
      </c>
      <c r="L55" s="7">
        <v>0.16836799999999999</v>
      </c>
      <c r="M55" s="7">
        <v>0.752471</v>
      </c>
      <c r="N55" s="7">
        <v>3.6028999999999999E-2</v>
      </c>
      <c r="O55" s="7">
        <v>0.13223799999999999</v>
      </c>
      <c r="P55" s="7">
        <v>0.12</v>
      </c>
      <c r="Q55" s="7">
        <v>0.69</v>
      </c>
      <c r="R55" s="7">
        <f t="shared" si="9"/>
        <v>0.21398959422218</v>
      </c>
      <c r="S55" s="7">
        <f t="shared" si="10"/>
        <v>0.78541052931673483</v>
      </c>
    </row>
    <row r="59" spans="1:19" x14ac:dyDescent="0.3">
      <c r="A59" s="7" t="s">
        <v>0</v>
      </c>
      <c r="B59" s="7" t="s">
        <v>3</v>
      </c>
      <c r="C59" s="7" t="s">
        <v>16</v>
      </c>
      <c r="D59" s="7" t="s">
        <v>17</v>
      </c>
      <c r="E59" s="7" t="s">
        <v>18</v>
      </c>
      <c r="F59" s="7" t="s">
        <v>19</v>
      </c>
    </row>
    <row r="60" spans="1:19" x14ac:dyDescent="0.3">
      <c r="A60" s="7">
        <v>65536</v>
      </c>
      <c r="B60" s="7">
        <v>256</v>
      </c>
      <c r="C60" s="7">
        <f t="shared" ref="C60:C74" si="11">R41</f>
        <v>3.1632742972949157E-2</v>
      </c>
      <c r="D60" s="7">
        <f t="shared" ref="D60:D74" si="12">S41</f>
        <v>0.9613181778130232</v>
      </c>
      <c r="E60" s="7">
        <f t="shared" ref="E60:E74" si="13">(3.72/B60)</f>
        <v>1.4531250000000001E-2</v>
      </c>
      <c r="F60" s="7">
        <f t="shared" ref="F60:F74" si="14">1-E60</f>
        <v>0.98546875</v>
      </c>
    </row>
    <row r="61" spans="1:19" x14ac:dyDescent="0.3">
      <c r="A61" s="7">
        <v>262144</v>
      </c>
      <c r="B61" s="7">
        <v>256</v>
      </c>
      <c r="C61" s="7">
        <f t="shared" si="11"/>
        <v>2.0635530431919211E-2</v>
      </c>
      <c r="D61" s="7">
        <f t="shared" si="12"/>
        <v>0.97703199604851532</v>
      </c>
      <c r="E61" s="7">
        <f t="shared" si="13"/>
        <v>1.4531250000000001E-2</v>
      </c>
      <c r="F61" s="7">
        <f t="shared" si="14"/>
        <v>0.98546875</v>
      </c>
    </row>
    <row r="62" spans="1:19" x14ac:dyDescent="0.3">
      <c r="A62" s="7">
        <v>1048576</v>
      </c>
      <c r="B62" s="7">
        <v>256</v>
      </c>
      <c r="C62" s="7">
        <f t="shared" si="11"/>
        <v>1.6075708139635606E-2</v>
      </c>
      <c r="D62" s="7">
        <f t="shared" si="12"/>
        <v>0.98323852972598391</v>
      </c>
      <c r="E62" s="7">
        <f t="shared" si="13"/>
        <v>1.4531250000000001E-2</v>
      </c>
      <c r="F62" s="7">
        <f t="shared" si="14"/>
        <v>0.98546875</v>
      </c>
    </row>
    <row r="63" spans="1:19" x14ac:dyDescent="0.3">
      <c r="A63" s="7">
        <v>4194304</v>
      </c>
      <c r="B63" s="7">
        <v>256</v>
      </c>
      <c r="C63" s="7">
        <f t="shared" si="11"/>
        <v>1.7657970265506327E-2</v>
      </c>
      <c r="D63" s="7">
        <f t="shared" si="12"/>
        <v>0.9821777609612492</v>
      </c>
      <c r="E63" s="7">
        <f t="shared" si="13"/>
        <v>1.4531250000000001E-2</v>
      </c>
      <c r="F63" s="7">
        <f t="shared" si="14"/>
        <v>0.98546875</v>
      </c>
    </row>
    <row r="64" spans="1:19" x14ac:dyDescent="0.3">
      <c r="A64" s="7">
        <v>16777216</v>
      </c>
      <c r="B64" s="7">
        <v>256</v>
      </c>
      <c r="C64" s="7">
        <f t="shared" si="11"/>
        <v>1.5751110259613999E-2</v>
      </c>
      <c r="D64" s="7">
        <f t="shared" si="12"/>
        <v>0.98420513793562392</v>
      </c>
      <c r="E64" s="7">
        <f t="shared" si="13"/>
        <v>1.4531250000000001E-2</v>
      </c>
      <c r="F64" s="7">
        <f t="shared" si="14"/>
        <v>0.98546875</v>
      </c>
    </row>
    <row r="65" spans="1:6" x14ac:dyDescent="0.3">
      <c r="A65" s="7">
        <v>65536</v>
      </c>
      <c r="B65" s="7">
        <v>64</v>
      </c>
      <c r="C65" s="7">
        <f t="shared" si="11"/>
        <v>8.3727810650887566E-2</v>
      </c>
      <c r="D65" s="7">
        <f t="shared" si="12"/>
        <v>0.89940828402366868</v>
      </c>
      <c r="E65" s="7">
        <f t="shared" si="13"/>
        <v>5.8125000000000003E-2</v>
      </c>
      <c r="F65" s="7">
        <f t="shared" si="14"/>
        <v>0.94187500000000002</v>
      </c>
    </row>
    <row r="66" spans="1:6" x14ac:dyDescent="0.3">
      <c r="A66" s="7">
        <v>262144</v>
      </c>
      <c r="B66" s="7">
        <v>64</v>
      </c>
      <c r="C66" s="7">
        <f t="shared" si="11"/>
        <v>7.3530889000502253E-2</v>
      </c>
      <c r="D66" s="7">
        <f t="shared" si="12"/>
        <v>0.91813159216474138</v>
      </c>
      <c r="E66" s="7">
        <f t="shared" si="13"/>
        <v>5.8125000000000003E-2</v>
      </c>
      <c r="F66" s="7">
        <f t="shared" si="14"/>
        <v>0.94187500000000002</v>
      </c>
    </row>
    <row r="67" spans="1:6" x14ac:dyDescent="0.3">
      <c r="A67" s="7">
        <v>1048576</v>
      </c>
      <c r="B67" s="7">
        <v>64</v>
      </c>
      <c r="C67" s="7">
        <f t="shared" si="11"/>
        <v>5.8102878232565283E-2</v>
      </c>
      <c r="D67" s="7">
        <f t="shared" si="12"/>
        <v>0.93976984391419116</v>
      </c>
      <c r="E67" s="7">
        <f t="shared" si="13"/>
        <v>5.8125000000000003E-2</v>
      </c>
      <c r="F67" s="7">
        <f t="shared" si="14"/>
        <v>0.94187500000000002</v>
      </c>
    </row>
    <row r="68" spans="1:6" x14ac:dyDescent="0.3">
      <c r="A68" s="7">
        <v>4194304</v>
      </c>
      <c r="B68" s="7">
        <v>64</v>
      </c>
      <c r="C68" s="7">
        <f t="shared" si="11"/>
        <v>5.8317560462670871E-2</v>
      </c>
      <c r="D68" s="7">
        <f t="shared" si="12"/>
        <v>0.94105853487556956</v>
      </c>
      <c r="E68" s="7">
        <f t="shared" si="13"/>
        <v>5.8125000000000003E-2</v>
      </c>
      <c r="F68" s="7">
        <f t="shared" si="14"/>
        <v>0.94187500000000002</v>
      </c>
    </row>
    <row r="69" spans="1:6" x14ac:dyDescent="0.3">
      <c r="A69" s="7">
        <v>16777216</v>
      </c>
      <c r="B69" s="7">
        <v>64</v>
      </c>
      <c r="C69" s="7">
        <f t="shared" si="11"/>
        <v>5.824789724429507E-2</v>
      </c>
      <c r="D69" s="7">
        <f t="shared" si="12"/>
        <v>0.94156797196921616</v>
      </c>
      <c r="E69" s="7">
        <f t="shared" si="13"/>
        <v>5.8125000000000003E-2</v>
      </c>
      <c r="F69" s="7">
        <f t="shared" si="14"/>
        <v>0.94187500000000002</v>
      </c>
    </row>
    <row r="70" spans="1:6" x14ac:dyDescent="0.3">
      <c r="A70" s="7">
        <v>65536</v>
      </c>
      <c r="B70" s="7">
        <v>16</v>
      </c>
      <c r="C70" s="7">
        <f t="shared" si="11"/>
        <v>0.2803660565723794</v>
      </c>
      <c r="D70" s="7">
        <f t="shared" si="12"/>
        <v>0.65474209650582371</v>
      </c>
      <c r="E70" s="7">
        <f t="shared" si="13"/>
        <v>0.23250000000000001</v>
      </c>
      <c r="F70" s="7">
        <f t="shared" si="14"/>
        <v>0.76749999999999996</v>
      </c>
    </row>
    <row r="71" spans="1:6" x14ac:dyDescent="0.3">
      <c r="A71" s="7">
        <v>262144</v>
      </c>
      <c r="B71" s="7">
        <v>16</v>
      </c>
      <c r="C71" s="7">
        <f t="shared" si="11"/>
        <v>0.24915368991198375</v>
      </c>
      <c r="D71" s="7">
        <f t="shared" si="12"/>
        <v>0.72545700744752872</v>
      </c>
      <c r="E71" s="7">
        <f t="shared" si="13"/>
        <v>0.23250000000000001</v>
      </c>
      <c r="F71" s="7">
        <f t="shared" si="14"/>
        <v>0.76749999999999996</v>
      </c>
    </row>
    <row r="72" spans="1:6" x14ac:dyDescent="0.3">
      <c r="A72" s="7">
        <v>1048576</v>
      </c>
      <c r="B72" s="7">
        <v>16</v>
      </c>
      <c r="C72" s="7">
        <f t="shared" si="11"/>
        <v>0.19569320521619768</v>
      </c>
      <c r="D72" s="7">
        <f t="shared" si="12"/>
        <v>0.7976149622512011</v>
      </c>
      <c r="E72" s="7">
        <f t="shared" si="13"/>
        <v>0.23250000000000001</v>
      </c>
      <c r="F72" s="7">
        <f t="shared" si="14"/>
        <v>0.76749999999999996</v>
      </c>
    </row>
    <row r="73" spans="1:6" x14ac:dyDescent="0.3">
      <c r="A73" s="7">
        <v>4194304</v>
      </c>
      <c r="B73" s="7">
        <v>16</v>
      </c>
      <c r="C73" s="7">
        <f t="shared" si="11"/>
        <v>0.20134883942614748</v>
      </c>
      <c r="D73" s="7">
        <f t="shared" si="12"/>
        <v>0.79657785615556931</v>
      </c>
      <c r="E73" s="7">
        <f t="shared" si="13"/>
        <v>0.23250000000000001</v>
      </c>
      <c r="F73" s="7">
        <f t="shared" si="14"/>
        <v>0.76749999999999996</v>
      </c>
    </row>
    <row r="74" spans="1:6" x14ac:dyDescent="0.3">
      <c r="A74" s="7">
        <v>16777216</v>
      </c>
      <c r="B74" s="7">
        <v>16</v>
      </c>
      <c r="C74" s="7">
        <f t="shared" si="11"/>
        <v>0.21398959422218</v>
      </c>
      <c r="D74" s="7">
        <f t="shared" si="12"/>
        <v>0.78541052931673483</v>
      </c>
      <c r="E74" s="7">
        <f t="shared" si="13"/>
        <v>0.23250000000000001</v>
      </c>
      <c r="F74" s="7">
        <f t="shared" si="14"/>
        <v>0.76749999999999996</v>
      </c>
    </row>
  </sheetData>
  <autoFilter ref="A40:S55" xr:uid="{00000000-0009-0000-0000-000000000000}">
    <sortState xmlns:xlrd2="http://schemas.microsoft.com/office/spreadsheetml/2017/richdata2" ref="A41:S55">
      <sortCondition ref="A41:A55"/>
    </sortState>
  </autoFilter>
  <pageMargins left="0.7" right="0.7" top="0.75" bottom="0.75" header="0.51180555555555496" footer="0.51180555555555496"/>
  <pageSetup firstPageNumber="0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zoomScaleNormal="100" workbookViewId="0">
      <selection activeCell="J5" sqref="J5"/>
    </sheetView>
  </sheetViews>
  <sheetFormatPr defaultColWidth="8.6640625" defaultRowHeight="14.4" x14ac:dyDescent="0.3"/>
  <sheetData>
    <row r="1" spans="1:9" ht="43.8" customHeight="1" x14ac:dyDescent="0.3">
      <c r="A1" s="6" t="s">
        <v>0</v>
      </c>
      <c r="B1" s="5" t="s">
        <v>20</v>
      </c>
      <c r="C1" s="5"/>
      <c r="D1" s="5"/>
      <c r="E1" s="5" t="s">
        <v>21</v>
      </c>
      <c r="F1" s="5"/>
      <c r="G1" s="5" t="s">
        <v>22</v>
      </c>
      <c r="H1" s="5"/>
      <c r="I1" s="5"/>
    </row>
    <row r="2" spans="1:9" ht="20.399999999999999" x14ac:dyDescent="0.3">
      <c r="A2" s="6"/>
      <c r="B2" s="11" t="s">
        <v>23</v>
      </c>
      <c r="C2" s="12" t="s">
        <v>24</v>
      </c>
      <c r="D2" s="12" t="s">
        <v>25</v>
      </c>
      <c r="E2" s="12" t="s">
        <v>24</v>
      </c>
      <c r="F2" s="12" t="s">
        <v>26</v>
      </c>
      <c r="G2" s="12" t="s">
        <v>23</v>
      </c>
      <c r="H2" s="12" t="s">
        <v>24</v>
      </c>
      <c r="I2" s="12" t="s">
        <v>25</v>
      </c>
    </row>
    <row r="3" spans="1:9" x14ac:dyDescent="0.3">
      <c r="A3" s="7">
        <v>65536</v>
      </c>
      <c r="B3" s="7">
        <f>ROUND(non_redundnat!L3/non_redundnat!L4,2)</f>
        <v>0.3</v>
      </c>
      <c r="C3" s="7">
        <f>non_redundnat!P4</f>
        <v>0.75</v>
      </c>
      <c r="D3" s="7">
        <f>ROUND(non_redundnat!K3/non_redundnat!K4,2)</f>
        <v>0.41</v>
      </c>
      <c r="E3" s="7">
        <f>non_redundnat!P3</f>
        <v>0.47</v>
      </c>
      <c r="F3" s="7">
        <v>5</v>
      </c>
      <c r="G3" s="7">
        <f>ROUND(non_redundnat!L3/non_redundnat!L2,2)</f>
        <v>2.81</v>
      </c>
      <c r="H3" s="7">
        <f>non_redundnat!P2</f>
        <v>0.13</v>
      </c>
      <c r="I3" s="7">
        <f>ROUND(non_redundnat!K3/non_redundnat!K2,2)</f>
        <v>1.05</v>
      </c>
    </row>
    <row r="4" spans="1:9" x14ac:dyDescent="0.3">
      <c r="A4" s="7">
        <v>262144</v>
      </c>
      <c r="B4" s="7">
        <f>ROUND(non_redundnat!L6/non_redundnat!L7,2)</f>
        <v>0.27</v>
      </c>
      <c r="C4" s="7">
        <f>non_redundnat!P7</f>
        <v>0.88</v>
      </c>
      <c r="D4" s="7">
        <f>ROUND(non_redundnat!K6/non_redundnat!K7,2)</f>
        <v>0.39</v>
      </c>
      <c r="E4" s="7">
        <f>non_redundnat!P6</f>
        <v>0.47</v>
      </c>
      <c r="F4" s="7">
        <v>6</v>
      </c>
      <c r="G4" s="7">
        <f>ROUND(non_redundnat!L6/non_redundnat!L5,2)</f>
        <v>3.37</v>
      </c>
      <c r="H4" s="7">
        <f>non_redundnat!P5</f>
        <v>0.12</v>
      </c>
      <c r="I4" s="7">
        <f>ROUND(non_redundnat!K6/non_redundnat!K5,2)</f>
        <v>1.1100000000000001</v>
      </c>
    </row>
    <row r="5" spans="1:9" x14ac:dyDescent="0.3">
      <c r="A5" s="7">
        <v>1048576</v>
      </c>
      <c r="B5" s="7">
        <f>ROUND(non_redundnat!L9/non_redundnat!L10,2)</f>
        <v>0.28000000000000003</v>
      </c>
      <c r="C5" s="7">
        <f>non_redundnat!P10</f>
        <v>0.82</v>
      </c>
      <c r="D5" s="7">
        <f>ROUND(non_redundnat!K9/non_redundnat!K10,2)</f>
        <v>0.41</v>
      </c>
      <c r="E5" s="7">
        <f>non_redundnat!P9</f>
        <v>0.49</v>
      </c>
      <c r="F5" s="7">
        <v>7</v>
      </c>
      <c r="G5" s="7">
        <f>ROUND(non_redundnat!L9/non_redundnat!L8,2)</f>
        <v>3.35</v>
      </c>
      <c r="H5" s="7">
        <f>non_redundnat!P8</f>
        <v>0.13</v>
      </c>
      <c r="I5" s="7">
        <f>ROUND(non_redundnat!K9/non_redundnat!K8,2)</f>
        <v>1.02</v>
      </c>
    </row>
    <row r="6" spans="1:9" x14ac:dyDescent="0.3">
      <c r="A6" s="7">
        <v>4194304</v>
      </c>
      <c r="B6" s="7">
        <f>ROUND(non_redundnat!L12/non_redundnat!L13,2)</f>
        <v>0.26</v>
      </c>
      <c r="C6" s="7">
        <f>non_redundnat!P13</f>
        <v>0.82</v>
      </c>
      <c r="D6" s="7">
        <f>ROUND(non_redundnat!K12/non_redundnat!K13,2)</f>
        <v>0.39</v>
      </c>
      <c r="E6" s="7">
        <f>non_redundnat!P12</f>
        <v>0.49</v>
      </c>
      <c r="F6" s="7">
        <v>8</v>
      </c>
      <c r="G6" s="7">
        <f>ROUND(non_redundnat!L12/non_redundnat!L11,2)</f>
        <v>3.4</v>
      </c>
      <c r="H6" s="7">
        <f>non_redundnat!P11</f>
        <v>0.13</v>
      </c>
      <c r="I6" s="7">
        <f>ROUND(non_redundnat!K12/non_redundnat!K11,2)</f>
        <v>1.03</v>
      </c>
    </row>
    <row r="7" spans="1:9" x14ac:dyDescent="0.3">
      <c r="A7" s="7">
        <v>16777216</v>
      </c>
      <c r="B7" s="7">
        <f>ROUND(non_redundnat!L15/non_redundnat!L16,2)</f>
        <v>0.26</v>
      </c>
      <c r="C7" s="7">
        <f>non_redundnat!P16</f>
        <v>0.82</v>
      </c>
      <c r="D7" s="7">
        <f>ROUND(non_redundnat!K15/non_redundnat!K16,2)</f>
        <v>0.38</v>
      </c>
      <c r="E7" s="7">
        <f>non_redundnat!P15</f>
        <v>0.49</v>
      </c>
      <c r="F7" s="7">
        <v>9</v>
      </c>
      <c r="G7" s="7">
        <f>ROUND(non_redundnat!L15/non_redundnat!L14,2)</f>
        <v>3.32</v>
      </c>
      <c r="H7" s="7">
        <f>non_redundnat!P14</f>
        <v>0.12</v>
      </c>
      <c r="I7" s="7">
        <f>ROUND(non_redundnat!K15/non_redundnat!K14,2)</f>
        <v>1.01</v>
      </c>
    </row>
    <row r="10" spans="1:9" x14ac:dyDescent="0.3">
      <c r="A10" s="6" t="s">
        <v>27</v>
      </c>
      <c r="B10" s="6"/>
      <c r="C10" s="6"/>
      <c r="D10" s="6"/>
      <c r="E10" s="6"/>
      <c r="F10" s="6"/>
      <c r="G10" s="6"/>
      <c r="H10" s="6"/>
      <c r="I10" s="6"/>
    </row>
    <row r="11" spans="1:9" ht="15" customHeight="1" x14ac:dyDescent="0.3">
      <c r="A11" s="6" t="s">
        <v>0</v>
      </c>
      <c r="B11" s="5" t="s">
        <v>20</v>
      </c>
      <c r="C11" s="5"/>
      <c r="D11" s="5"/>
      <c r="E11" s="5" t="s">
        <v>21</v>
      </c>
      <c r="F11" s="5"/>
      <c r="G11" s="5" t="s">
        <v>22</v>
      </c>
      <c r="H11" s="5"/>
      <c r="I11" s="5"/>
    </row>
    <row r="12" spans="1:9" ht="20.399999999999999" x14ac:dyDescent="0.3">
      <c r="A12" s="6"/>
      <c r="B12" s="11" t="s">
        <v>23</v>
      </c>
      <c r="C12" s="12" t="s">
        <v>24</v>
      </c>
      <c r="D12" s="12" t="s">
        <v>25</v>
      </c>
      <c r="E12" s="12" t="s">
        <v>24</v>
      </c>
      <c r="F12" s="12" t="s">
        <v>26</v>
      </c>
      <c r="G12" s="12" t="s">
        <v>23</v>
      </c>
      <c r="H12" s="12" t="s">
        <v>24</v>
      </c>
      <c r="I12" s="12" t="s">
        <v>25</v>
      </c>
    </row>
    <row r="13" spans="1:9" x14ac:dyDescent="0.3">
      <c r="A13" s="7">
        <v>65536</v>
      </c>
      <c r="B13" s="7">
        <f>ROUND(non_redundnat!L3/'RF 2'!O5,2)</f>
        <v>7.0000000000000007E-2</v>
      </c>
      <c r="C13" s="7">
        <f>'RF 2'!S5</f>
        <v>0.97</v>
      </c>
      <c r="D13" s="7">
        <f>ROUND(non_redundnat!K3/'RF 2'!N5,2)</f>
        <v>0.1</v>
      </c>
      <c r="E13" s="7">
        <f>non_redundnat!P13</f>
        <v>0.82</v>
      </c>
      <c r="F13" s="7">
        <v>5</v>
      </c>
      <c r="G13" s="7">
        <f>ROUND(non_redundnat!L3/'RF 2'!O3,2)</f>
        <v>1.95</v>
      </c>
      <c r="H13" s="7">
        <f>'RF 2'!S3</f>
        <v>0.33</v>
      </c>
      <c r="I13" s="7">
        <f>ROUND(non_redundnat!K3/'RF 2'!N3,2)</f>
        <v>1</v>
      </c>
    </row>
    <row r="14" spans="1:9" x14ac:dyDescent="0.3">
      <c r="A14" s="7">
        <v>262144</v>
      </c>
      <c r="B14" s="7">
        <f>ROUND(non_redundnat!L6/'RF 2'!O8,2)</f>
        <v>0.14000000000000001</v>
      </c>
      <c r="C14" s="7">
        <f>'RF 2'!S8</f>
        <v>0.93</v>
      </c>
      <c r="D14" s="7">
        <f>ROUND(non_redundnat!K6/'RF 2'!N8,2)</f>
        <v>0.21</v>
      </c>
      <c r="E14" s="7">
        <f>non_redundnat!P16</f>
        <v>0.82</v>
      </c>
      <c r="F14" s="7">
        <v>6</v>
      </c>
      <c r="G14" s="7">
        <f>ROUND(non_redundnat!L6/'RF 2'!O6,2)</f>
        <v>2.86</v>
      </c>
      <c r="H14" s="7">
        <f>'RF 2'!S6</f>
        <v>0.21</v>
      </c>
      <c r="I14" s="7">
        <f>ROUND(non_redundnat!K6/'RF 2'!N6,2)</f>
        <v>0.97</v>
      </c>
    </row>
    <row r="15" spans="1:9" x14ac:dyDescent="0.3">
      <c r="A15" s="7">
        <v>1048576</v>
      </c>
      <c r="B15" s="7">
        <f>ROUND(non_redundnat!L9/'RF 2'!O11,2)</f>
        <v>0.24</v>
      </c>
      <c r="C15" s="7">
        <f>'RF 2'!S11</f>
        <v>0.9</v>
      </c>
      <c r="D15" s="7">
        <f>ROUND(non_redundnat!K9/'RF 2'!N11,2)</f>
        <v>0.36</v>
      </c>
      <c r="E15" s="7">
        <f>non_redundnat!P19</f>
        <v>0</v>
      </c>
      <c r="F15" s="7">
        <v>7</v>
      </c>
      <c r="G15" s="7">
        <f>ROUND(non_redundnat!L9/'RF 2'!O9,2)</f>
        <v>3.67</v>
      </c>
      <c r="H15" s="7">
        <f>'RF 2'!S9</f>
        <v>0.18</v>
      </c>
      <c r="I15" s="7">
        <f>ROUND(non_redundnat!K9/'RF 2'!N9,2)</f>
        <v>1.07</v>
      </c>
    </row>
    <row r="16" spans="1:9" x14ac:dyDescent="0.3">
      <c r="A16" s="7">
        <v>4194304</v>
      </c>
      <c r="B16" s="7">
        <f>ROUND(non_redundnat!L12/'RF 2'!O14,2)</f>
        <v>0.28000000000000003</v>
      </c>
      <c r="C16" s="7">
        <f>'RF 2'!S14</f>
        <v>0.88</v>
      </c>
      <c r="D16" s="7">
        <f>ROUND(non_redundnat!K12/'RF 2'!N14,2)</f>
        <v>0.4</v>
      </c>
      <c r="E16" s="7">
        <f>non_redundnat!P22</f>
        <v>0</v>
      </c>
      <c r="F16" s="7">
        <v>8</v>
      </c>
      <c r="G16" s="7">
        <f>ROUND(non_redundnat!L12/'RF 2'!O12,2)</f>
        <v>3.82</v>
      </c>
      <c r="H16" s="7">
        <f>'RF 2'!S12</f>
        <v>0.17</v>
      </c>
      <c r="I16" s="7">
        <f>ROUND(non_redundnat!K12/'RF 2'!N12,2)</f>
        <v>1.05</v>
      </c>
    </row>
    <row r="17" spans="1:9" x14ac:dyDescent="0.3">
      <c r="A17" s="7">
        <v>16777216</v>
      </c>
      <c r="B17" s="7">
        <f>ROUND(non_redundnat!L15/'RF 2'!O17,2)</f>
        <v>0.28000000000000003</v>
      </c>
      <c r="C17" s="7">
        <f>'RF 2'!S17</f>
        <v>0.88</v>
      </c>
      <c r="D17" s="7">
        <f>ROUND(non_redundnat!K15/'RF 2'!N17,2)</f>
        <v>0.41</v>
      </c>
      <c r="E17" s="7">
        <f>non_redundnat!P25</f>
        <v>0</v>
      </c>
      <c r="F17" s="7">
        <v>9</v>
      </c>
      <c r="G17" s="7">
        <f>ROUND(non_redundnat!L15/'RF 2'!O15,2)</f>
        <v>3.91</v>
      </c>
      <c r="H17" s="7">
        <f>'RF 2'!S15</f>
        <v>0.16</v>
      </c>
      <c r="I17" s="7">
        <f>ROUND(non_redundnat!K15/'RF 2'!N15,2)</f>
        <v>1.05</v>
      </c>
    </row>
  </sheetData>
  <mergeCells count="9">
    <mergeCell ref="A11:A12"/>
    <mergeCell ref="B11:D11"/>
    <mergeCell ref="E11:F11"/>
    <mergeCell ref="G11:I11"/>
    <mergeCell ref="A1:A2"/>
    <mergeCell ref="B1:D1"/>
    <mergeCell ref="E1:F1"/>
    <mergeCell ref="G1:I1"/>
    <mergeCell ref="A10:I10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9"/>
  <sheetViews>
    <sheetView zoomScaleNormal="100" workbookViewId="0">
      <selection activeCell="P26" sqref="P26"/>
    </sheetView>
  </sheetViews>
  <sheetFormatPr defaultColWidth="8.6640625" defaultRowHeight="14.4" x14ac:dyDescent="0.3"/>
  <sheetData>
    <row r="1" spans="1:27" x14ac:dyDescent="0.3">
      <c r="A1" s="4" t="s">
        <v>28</v>
      </c>
      <c r="B1" s="4"/>
      <c r="C1" s="4"/>
      <c r="D1" s="4"/>
      <c r="E1" s="4"/>
      <c r="F1" s="4"/>
      <c r="G1" s="4" t="s">
        <v>29</v>
      </c>
      <c r="H1" s="4"/>
      <c r="I1" s="4"/>
      <c r="J1" s="4"/>
      <c r="K1" s="4"/>
      <c r="L1" s="4"/>
      <c r="M1" s="4"/>
      <c r="N1" s="4" t="s">
        <v>30</v>
      </c>
      <c r="O1" s="4"/>
      <c r="P1" s="4"/>
      <c r="Q1" s="4"/>
      <c r="R1" s="4"/>
      <c r="S1" s="4" t="s">
        <v>31</v>
      </c>
      <c r="T1" s="4"/>
      <c r="U1" s="4"/>
      <c r="V1" s="4"/>
      <c r="W1" s="7" t="s">
        <v>32</v>
      </c>
    </row>
    <row r="2" spans="1:27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33</v>
      </c>
      <c r="F2" s="7" t="s">
        <v>34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35</v>
      </c>
      <c r="M2" s="8" t="s">
        <v>9</v>
      </c>
      <c r="N2" s="13" t="s">
        <v>36</v>
      </c>
      <c r="O2" s="13" t="s">
        <v>37</v>
      </c>
      <c r="P2" s="13" t="s">
        <v>38</v>
      </c>
      <c r="Q2" s="13" t="s">
        <v>39</v>
      </c>
      <c r="R2" s="13" t="s">
        <v>40</v>
      </c>
      <c r="S2" s="9" t="s">
        <v>41</v>
      </c>
      <c r="T2" s="9" t="s">
        <v>42</v>
      </c>
      <c r="U2" s="14" t="s">
        <v>43</v>
      </c>
      <c r="V2" s="14" t="s">
        <v>44</v>
      </c>
      <c r="W2" s="7" t="s">
        <v>36</v>
      </c>
      <c r="X2" s="7" t="s">
        <v>45</v>
      </c>
      <c r="Y2" s="7" t="s">
        <v>46</v>
      </c>
      <c r="Z2" s="7" t="s">
        <v>47</v>
      </c>
      <c r="AA2" s="7" t="s">
        <v>48</v>
      </c>
    </row>
    <row r="3" spans="1:27" x14ac:dyDescent="0.3">
      <c r="A3" s="7">
        <v>65536</v>
      </c>
      <c r="B3" s="7">
        <v>5</v>
      </c>
      <c r="C3" s="7">
        <v>1</v>
      </c>
      <c r="D3" s="7">
        <v>16</v>
      </c>
      <c r="E3" s="7">
        <v>4</v>
      </c>
      <c r="F3" s="7">
        <v>0</v>
      </c>
      <c r="G3" s="7">
        <v>4.6201999999999996</v>
      </c>
      <c r="H3" s="7">
        <v>4.1770000000000002E-3</v>
      </c>
      <c r="I3" s="7">
        <v>6.7500000000000004E-4</v>
      </c>
      <c r="J3" s="7">
        <v>3.349E-3</v>
      </c>
      <c r="K3" s="7">
        <v>2.0699999999999999E-4</v>
      </c>
      <c r="L3" s="7">
        <v>8.5400000000000005E-4</v>
      </c>
      <c r="M3" s="7">
        <v>6.02E-4</v>
      </c>
      <c r="N3" s="7">
        <f t="shared" ref="N3:N17" si="0">H3+L3+K3</f>
        <v>5.2379999999999996E-3</v>
      </c>
      <c r="O3" s="7">
        <f t="shared" ref="O3:O17" si="1">I3+L3+K3</f>
        <v>1.7359999999999999E-3</v>
      </c>
      <c r="P3" s="7">
        <f t="shared" ref="P3:P17" si="2">J3</f>
        <v>3.349E-3</v>
      </c>
      <c r="Q3" s="7">
        <f t="shared" ref="Q3:Q17" si="3">K3+L3</f>
        <v>1.0610000000000001E-3</v>
      </c>
      <c r="R3" s="7">
        <f t="shared" ref="R3:R17" si="4">M3</f>
        <v>6.02E-4</v>
      </c>
      <c r="S3" s="7">
        <f t="shared" ref="S3:S17" si="5">ROUND(O3/N3,2)</f>
        <v>0.33</v>
      </c>
      <c r="T3" s="7">
        <f t="shared" ref="T3:T17" si="6">ROUND(P3/N3,2)</f>
        <v>0.64</v>
      </c>
      <c r="U3" s="7">
        <f t="shared" ref="U3:U17" si="7">ROUND(Q3/O3,2)</f>
        <v>0.61</v>
      </c>
      <c r="V3" s="7">
        <f t="shared" ref="V3:V17" si="8">ROUND(R3/O3,2)</f>
        <v>0.35</v>
      </c>
      <c r="W3" s="15">
        <f t="shared" ref="W3:AA5" si="9">ROUND(N$4/N3,2)</f>
        <v>1.48</v>
      </c>
      <c r="X3" s="7">
        <f t="shared" si="9"/>
        <v>3.35</v>
      </c>
      <c r="Y3" s="7">
        <f t="shared" si="9"/>
        <v>0.53</v>
      </c>
      <c r="Z3" s="7">
        <f t="shared" si="9"/>
        <v>3.19</v>
      </c>
      <c r="AA3" s="7">
        <f t="shared" si="9"/>
        <v>3.89</v>
      </c>
    </row>
    <row r="4" spans="1:27" x14ac:dyDescent="0.3">
      <c r="A4" s="7">
        <v>65536</v>
      </c>
      <c r="B4" s="7">
        <v>5</v>
      </c>
      <c r="C4" s="7">
        <v>0</v>
      </c>
      <c r="D4" s="7">
        <v>64</v>
      </c>
      <c r="E4" s="7">
        <v>8</v>
      </c>
      <c r="F4" s="7">
        <v>1</v>
      </c>
      <c r="G4" s="7">
        <v>4.8033999999999999</v>
      </c>
      <c r="H4" s="7">
        <v>4.3470000000000002E-3</v>
      </c>
      <c r="I4" s="7">
        <v>2.4190000000000001E-3</v>
      </c>
      <c r="J4" s="7">
        <v>1.771E-3</v>
      </c>
      <c r="K4" s="7">
        <v>2.14E-4</v>
      </c>
      <c r="L4" s="7">
        <v>3.1740000000000002E-3</v>
      </c>
      <c r="M4" s="7">
        <v>2.3410000000000002E-3</v>
      </c>
      <c r="N4" s="7">
        <f t="shared" si="0"/>
        <v>7.7349999999999997E-3</v>
      </c>
      <c r="O4" s="7">
        <f t="shared" si="1"/>
        <v>5.8070000000000005E-3</v>
      </c>
      <c r="P4" s="7">
        <f t="shared" si="2"/>
        <v>1.771E-3</v>
      </c>
      <c r="Q4" s="7">
        <f t="shared" si="3"/>
        <v>3.3880000000000004E-3</v>
      </c>
      <c r="R4" s="7">
        <f t="shared" si="4"/>
        <v>2.3410000000000002E-3</v>
      </c>
      <c r="S4" s="7">
        <f t="shared" si="5"/>
        <v>0.75</v>
      </c>
      <c r="T4" s="7">
        <f t="shared" si="6"/>
        <v>0.23</v>
      </c>
      <c r="U4" s="7">
        <f t="shared" si="7"/>
        <v>0.57999999999999996</v>
      </c>
      <c r="V4" s="7">
        <f t="shared" si="8"/>
        <v>0.4</v>
      </c>
      <c r="W4" s="7">
        <f t="shared" si="9"/>
        <v>1</v>
      </c>
      <c r="X4" s="7">
        <f t="shared" si="9"/>
        <v>1</v>
      </c>
      <c r="Y4" s="7">
        <f t="shared" si="9"/>
        <v>1</v>
      </c>
      <c r="Z4" s="7">
        <f t="shared" si="9"/>
        <v>1</v>
      </c>
      <c r="AA4" s="7">
        <f t="shared" si="9"/>
        <v>1</v>
      </c>
    </row>
    <row r="5" spans="1:27" x14ac:dyDescent="0.3">
      <c r="A5" s="7">
        <v>65536</v>
      </c>
      <c r="B5" s="7">
        <v>5</v>
      </c>
      <c r="C5" s="7">
        <v>-1</v>
      </c>
      <c r="D5" s="7">
        <v>256</v>
      </c>
      <c r="E5" s="7">
        <v>16</v>
      </c>
      <c r="F5" s="7">
        <v>18</v>
      </c>
      <c r="G5" s="7">
        <v>11.4169</v>
      </c>
      <c r="H5" s="7">
        <v>1.0916E-2</v>
      </c>
      <c r="I5" s="7">
        <v>9.2029999999999994E-3</v>
      </c>
      <c r="J5" s="7">
        <v>1.549E-3</v>
      </c>
      <c r="K5" s="7">
        <v>2.14E-4</v>
      </c>
      <c r="L5" s="7">
        <v>3.9322000000000003E-2</v>
      </c>
      <c r="M5" s="7">
        <v>9.1190000000000004E-3</v>
      </c>
      <c r="N5" s="7">
        <f t="shared" si="0"/>
        <v>5.0452000000000004E-2</v>
      </c>
      <c r="O5" s="7">
        <f t="shared" si="1"/>
        <v>4.8738999999999998E-2</v>
      </c>
      <c r="P5" s="7">
        <f t="shared" si="2"/>
        <v>1.549E-3</v>
      </c>
      <c r="Q5" s="7">
        <f t="shared" si="3"/>
        <v>3.9536000000000002E-2</v>
      </c>
      <c r="R5" s="7">
        <f t="shared" si="4"/>
        <v>9.1190000000000004E-3</v>
      </c>
      <c r="S5" s="7">
        <f t="shared" si="5"/>
        <v>0.97</v>
      </c>
      <c r="T5" s="7">
        <f t="shared" si="6"/>
        <v>0.03</v>
      </c>
      <c r="U5" s="7">
        <f t="shared" si="7"/>
        <v>0.81</v>
      </c>
      <c r="V5" s="7">
        <f t="shared" si="8"/>
        <v>0.19</v>
      </c>
      <c r="W5" s="7">
        <f t="shared" si="9"/>
        <v>0.15</v>
      </c>
      <c r="X5" s="7">
        <f t="shared" si="9"/>
        <v>0.12</v>
      </c>
      <c r="Y5" s="7">
        <f t="shared" si="9"/>
        <v>1.1399999999999999</v>
      </c>
      <c r="Z5" s="7">
        <f t="shared" si="9"/>
        <v>0.09</v>
      </c>
      <c r="AA5" s="7">
        <f t="shared" si="9"/>
        <v>0.26</v>
      </c>
    </row>
    <row r="6" spans="1:27" x14ac:dyDescent="0.3">
      <c r="A6" s="7">
        <v>262144</v>
      </c>
      <c r="B6" s="7">
        <v>6</v>
      </c>
      <c r="C6" s="7">
        <v>1</v>
      </c>
      <c r="D6" s="7">
        <v>16</v>
      </c>
      <c r="E6" s="7">
        <v>4</v>
      </c>
      <c r="F6" s="7">
        <v>0</v>
      </c>
      <c r="G6" s="7">
        <v>16.3371</v>
      </c>
      <c r="H6" s="7">
        <v>1.5609E-2</v>
      </c>
      <c r="I6" s="7">
        <v>2.3050000000000002E-3</v>
      </c>
      <c r="J6" s="7">
        <v>1.3141E-2</v>
      </c>
      <c r="K6" s="7">
        <v>4.7199999999999998E-4</v>
      </c>
      <c r="L6" s="7">
        <v>7.0699999999999995E-4</v>
      </c>
      <c r="M6" s="7">
        <v>2.232E-3</v>
      </c>
      <c r="N6" s="7">
        <f t="shared" si="0"/>
        <v>1.6788000000000001E-2</v>
      </c>
      <c r="O6" s="7">
        <f t="shared" si="1"/>
        <v>3.4840000000000001E-3</v>
      </c>
      <c r="P6" s="7">
        <f t="shared" si="2"/>
        <v>1.3141E-2</v>
      </c>
      <c r="Q6" s="7">
        <f t="shared" si="3"/>
        <v>1.1789999999999999E-3</v>
      </c>
      <c r="R6" s="7">
        <f t="shared" si="4"/>
        <v>2.232E-3</v>
      </c>
      <c r="S6" s="7">
        <f t="shared" si="5"/>
        <v>0.21</v>
      </c>
      <c r="T6" s="7">
        <f t="shared" si="6"/>
        <v>0.78</v>
      </c>
      <c r="U6" s="7">
        <f t="shared" si="7"/>
        <v>0.34</v>
      </c>
      <c r="V6" s="7">
        <f t="shared" si="8"/>
        <v>0.64</v>
      </c>
      <c r="W6" s="15">
        <f t="shared" ref="W6:AA8" si="10">ROUND(N$7/N6,2)</f>
        <v>1.22</v>
      </c>
      <c r="X6" s="7">
        <f t="shared" si="10"/>
        <v>3.75</v>
      </c>
      <c r="Y6" s="7">
        <f t="shared" si="10"/>
        <v>0.56000000000000005</v>
      </c>
      <c r="Z6" s="7">
        <f t="shared" si="10"/>
        <v>3.07</v>
      </c>
      <c r="AA6" s="7">
        <f t="shared" si="10"/>
        <v>4.1900000000000004</v>
      </c>
    </row>
    <row r="7" spans="1:27" x14ac:dyDescent="0.3">
      <c r="A7" s="7">
        <v>262144</v>
      </c>
      <c r="B7" s="7">
        <v>6</v>
      </c>
      <c r="C7" s="7">
        <v>0</v>
      </c>
      <c r="D7" s="7">
        <v>64</v>
      </c>
      <c r="E7" s="7">
        <v>8</v>
      </c>
      <c r="F7" s="7">
        <v>1</v>
      </c>
      <c r="G7" s="7">
        <v>17.653400000000001</v>
      </c>
      <c r="H7" s="7">
        <v>1.6910000000000001E-2</v>
      </c>
      <c r="I7" s="7">
        <v>9.4369999999999992E-3</v>
      </c>
      <c r="J7" s="7">
        <v>7.3280000000000003E-3</v>
      </c>
      <c r="K7" s="7">
        <v>4.84E-4</v>
      </c>
      <c r="L7" s="7">
        <v>3.13E-3</v>
      </c>
      <c r="M7" s="7">
        <v>9.3620000000000005E-3</v>
      </c>
      <c r="N7" s="7">
        <f t="shared" si="0"/>
        <v>2.0524000000000001E-2</v>
      </c>
      <c r="O7" s="7">
        <f t="shared" si="1"/>
        <v>1.3050999999999998E-2</v>
      </c>
      <c r="P7" s="7">
        <f t="shared" si="2"/>
        <v>7.3280000000000003E-3</v>
      </c>
      <c r="Q7" s="7">
        <f t="shared" si="3"/>
        <v>3.614E-3</v>
      </c>
      <c r="R7" s="7">
        <f t="shared" si="4"/>
        <v>9.3620000000000005E-3</v>
      </c>
      <c r="S7" s="7">
        <f t="shared" si="5"/>
        <v>0.64</v>
      </c>
      <c r="T7" s="7">
        <f t="shared" si="6"/>
        <v>0.36</v>
      </c>
      <c r="U7" s="7">
        <f t="shared" si="7"/>
        <v>0.28000000000000003</v>
      </c>
      <c r="V7" s="7">
        <f t="shared" si="8"/>
        <v>0.72</v>
      </c>
      <c r="W7" s="7">
        <f t="shared" si="10"/>
        <v>1</v>
      </c>
      <c r="X7" s="7">
        <f t="shared" si="10"/>
        <v>1</v>
      </c>
      <c r="Y7" s="7">
        <f t="shared" si="10"/>
        <v>1</v>
      </c>
      <c r="Z7" s="7">
        <f t="shared" si="10"/>
        <v>1</v>
      </c>
      <c r="AA7" s="7">
        <f t="shared" si="10"/>
        <v>1</v>
      </c>
    </row>
    <row r="8" spans="1:27" x14ac:dyDescent="0.3">
      <c r="A8" s="7">
        <v>262144</v>
      </c>
      <c r="B8" s="7">
        <v>6</v>
      </c>
      <c r="C8" s="7">
        <v>-1</v>
      </c>
      <c r="D8" s="7">
        <v>256</v>
      </c>
      <c r="E8" s="7">
        <v>16</v>
      </c>
      <c r="F8" s="7">
        <v>18</v>
      </c>
      <c r="G8" s="7">
        <v>38.8093</v>
      </c>
      <c r="H8" s="7">
        <v>3.8009000000000001E-2</v>
      </c>
      <c r="I8" s="7">
        <v>3.2751000000000002E-2</v>
      </c>
      <c r="J8" s="7">
        <v>5.0899999999999999E-3</v>
      </c>
      <c r="K8" s="7">
        <v>5.2499999999999997E-4</v>
      </c>
      <c r="L8" s="7">
        <v>3.9218999999999997E-2</v>
      </c>
      <c r="M8" s="7">
        <v>3.2666000000000001E-2</v>
      </c>
      <c r="N8" s="7">
        <f t="shared" si="0"/>
        <v>7.7752999999999989E-2</v>
      </c>
      <c r="O8" s="7">
        <f t="shared" si="1"/>
        <v>7.2495000000000004E-2</v>
      </c>
      <c r="P8" s="7">
        <f t="shared" si="2"/>
        <v>5.0899999999999999E-3</v>
      </c>
      <c r="Q8" s="7">
        <f t="shared" si="3"/>
        <v>3.9743999999999995E-2</v>
      </c>
      <c r="R8" s="7">
        <f t="shared" si="4"/>
        <v>3.2666000000000001E-2</v>
      </c>
      <c r="S8" s="7">
        <f t="shared" si="5"/>
        <v>0.93</v>
      </c>
      <c r="T8" s="7">
        <f t="shared" si="6"/>
        <v>7.0000000000000007E-2</v>
      </c>
      <c r="U8" s="7">
        <f t="shared" si="7"/>
        <v>0.55000000000000004</v>
      </c>
      <c r="V8" s="7">
        <f t="shared" si="8"/>
        <v>0.45</v>
      </c>
      <c r="W8" s="7">
        <f t="shared" si="10"/>
        <v>0.26</v>
      </c>
      <c r="X8" s="7">
        <f t="shared" si="10"/>
        <v>0.18</v>
      </c>
      <c r="Y8" s="7">
        <f t="shared" si="10"/>
        <v>1.44</v>
      </c>
      <c r="Z8" s="7">
        <f t="shared" si="10"/>
        <v>0.09</v>
      </c>
      <c r="AA8" s="7">
        <f t="shared" si="10"/>
        <v>0.28999999999999998</v>
      </c>
    </row>
    <row r="9" spans="1:27" x14ac:dyDescent="0.3">
      <c r="A9" s="7">
        <v>1048576</v>
      </c>
      <c r="B9" s="7">
        <v>7</v>
      </c>
      <c r="C9" s="7">
        <v>1</v>
      </c>
      <c r="D9" s="7">
        <v>16</v>
      </c>
      <c r="E9" s="7">
        <v>4</v>
      </c>
      <c r="F9" s="7">
        <v>0</v>
      </c>
      <c r="G9" s="7">
        <v>59.994999999999997</v>
      </c>
      <c r="H9" s="7">
        <v>5.8181999999999998E-2</v>
      </c>
      <c r="I9" s="7">
        <v>8.2839999999999997E-3</v>
      </c>
      <c r="J9" s="7">
        <v>4.9731999999999998E-2</v>
      </c>
      <c r="K9" s="7">
        <v>1.537E-3</v>
      </c>
      <c r="L9" s="7">
        <v>8.1899999999999996E-4</v>
      </c>
      <c r="M9" s="7">
        <v>8.2070000000000008E-3</v>
      </c>
      <c r="N9" s="7">
        <f t="shared" si="0"/>
        <v>6.0537999999999995E-2</v>
      </c>
      <c r="O9" s="7">
        <f t="shared" si="1"/>
        <v>1.064E-2</v>
      </c>
      <c r="P9" s="7">
        <f t="shared" si="2"/>
        <v>4.9731999999999998E-2</v>
      </c>
      <c r="Q9" s="7">
        <f t="shared" si="3"/>
        <v>2.356E-3</v>
      </c>
      <c r="R9" s="7">
        <f t="shared" si="4"/>
        <v>8.2070000000000008E-3</v>
      </c>
      <c r="S9" s="7">
        <f t="shared" si="5"/>
        <v>0.18</v>
      </c>
      <c r="T9" s="7">
        <f t="shared" si="6"/>
        <v>0.82</v>
      </c>
      <c r="U9" s="7">
        <f t="shared" si="7"/>
        <v>0.22</v>
      </c>
      <c r="V9" s="7">
        <f t="shared" si="8"/>
        <v>0.77</v>
      </c>
      <c r="W9" s="15">
        <f t="shared" ref="W9:AA11" si="11">ROUND(N$10/N9,2)</f>
        <v>1.07</v>
      </c>
      <c r="X9" s="7">
        <f t="shared" si="11"/>
        <v>3.6</v>
      </c>
      <c r="Y9" s="7">
        <f t="shared" si="11"/>
        <v>0.53</v>
      </c>
      <c r="Z9" s="7">
        <f t="shared" si="11"/>
        <v>1.95</v>
      </c>
      <c r="AA9" s="7">
        <f t="shared" si="11"/>
        <v>4.0999999999999996</v>
      </c>
    </row>
    <row r="10" spans="1:27" x14ac:dyDescent="0.3">
      <c r="A10" s="7">
        <v>1048576</v>
      </c>
      <c r="B10" s="7">
        <v>7</v>
      </c>
      <c r="C10" s="7">
        <v>0</v>
      </c>
      <c r="D10" s="7">
        <v>64</v>
      </c>
      <c r="E10" s="7">
        <v>8</v>
      </c>
      <c r="F10" s="7">
        <v>1</v>
      </c>
      <c r="G10" s="7">
        <v>61.880200000000002</v>
      </c>
      <c r="H10" s="7">
        <v>6.0080000000000001E-2</v>
      </c>
      <c r="I10" s="7">
        <v>3.3736000000000002E-2</v>
      </c>
      <c r="J10" s="7">
        <v>2.6175E-2</v>
      </c>
      <c r="K10" s="7">
        <v>1.519E-3</v>
      </c>
      <c r="L10" s="7">
        <v>3.0720000000000001E-3</v>
      </c>
      <c r="M10" s="7">
        <v>3.3652000000000001E-2</v>
      </c>
      <c r="N10" s="7">
        <f t="shared" si="0"/>
        <v>6.4671000000000006E-2</v>
      </c>
      <c r="O10" s="7">
        <f t="shared" si="1"/>
        <v>3.8327E-2</v>
      </c>
      <c r="P10" s="7">
        <f t="shared" si="2"/>
        <v>2.6175E-2</v>
      </c>
      <c r="Q10" s="7">
        <f t="shared" si="3"/>
        <v>4.5909999999999996E-3</v>
      </c>
      <c r="R10" s="7">
        <f t="shared" si="4"/>
        <v>3.3652000000000001E-2</v>
      </c>
      <c r="S10" s="7">
        <f t="shared" si="5"/>
        <v>0.59</v>
      </c>
      <c r="T10" s="7">
        <f t="shared" si="6"/>
        <v>0.4</v>
      </c>
      <c r="U10" s="7">
        <f t="shared" si="7"/>
        <v>0.12</v>
      </c>
      <c r="V10" s="7">
        <f t="shared" si="8"/>
        <v>0.88</v>
      </c>
      <c r="W10" s="7">
        <f t="shared" si="11"/>
        <v>1</v>
      </c>
      <c r="X10" s="7">
        <f t="shared" si="11"/>
        <v>1</v>
      </c>
      <c r="Y10" s="7">
        <f t="shared" si="11"/>
        <v>1</v>
      </c>
      <c r="Z10" s="7">
        <f t="shared" si="11"/>
        <v>1</v>
      </c>
      <c r="AA10" s="7">
        <f t="shared" si="11"/>
        <v>1</v>
      </c>
    </row>
    <row r="11" spans="1:27" x14ac:dyDescent="0.3">
      <c r="A11" s="7">
        <v>1048576</v>
      </c>
      <c r="B11" s="7">
        <v>7</v>
      </c>
      <c r="C11" s="7">
        <v>-1</v>
      </c>
      <c r="D11" s="7">
        <v>256</v>
      </c>
      <c r="E11" s="7">
        <v>16</v>
      </c>
      <c r="F11" s="7">
        <v>18</v>
      </c>
      <c r="G11" s="7">
        <v>142.2997</v>
      </c>
      <c r="H11" s="7">
        <v>0.14049200000000001</v>
      </c>
      <c r="I11" s="7">
        <v>0.122173</v>
      </c>
      <c r="J11" s="7">
        <v>1.8134000000000001E-2</v>
      </c>
      <c r="K11" s="7">
        <v>1.5169999999999999E-3</v>
      </c>
      <c r="L11" s="7">
        <v>3.9282999999999998E-2</v>
      </c>
      <c r="M11" s="7">
        <v>0.12207800000000001</v>
      </c>
      <c r="N11" s="7">
        <f t="shared" si="0"/>
        <v>0.18129200000000001</v>
      </c>
      <c r="O11" s="7">
        <f t="shared" si="1"/>
        <v>0.16297299999999998</v>
      </c>
      <c r="P11" s="7">
        <f t="shared" si="2"/>
        <v>1.8134000000000001E-2</v>
      </c>
      <c r="Q11" s="7">
        <f t="shared" si="3"/>
        <v>4.0799999999999996E-2</v>
      </c>
      <c r="R11" s="7">
        <f t="shared" si="4"/>
        <v>0.12207800000000001</v>
      </c>
      <c r="S11" s="7">
        <f t="shared" si="5"/>
        <v>0.9</v>
      </c>
      <c r="T11" s="7">
        <f t="shared" si="6"/>
        <v>0.1</v>
      </c>
      <c r="U11" s="7">
        <f t="shared" si="7"/>
        <v>0.25</v>
      </c>
      <c r="V11" s="7">
        <f t="shared" si="8"/>
        <v>0.75</v>
      </c>
      <c r="W11" s="7">
        <f t="shared" si="11"/>
        <v>0.36</v>
      </c>
      <c r="X11" s="7">
        <f t="shared" si="11"/>
        <v>0.24</v>
      </c>
      <c r="Y11" s="7">
        <f t="shared" si="11"/>
        <v>1.44</v>
      </c>
      <c r="Z11" s="7">
        <f t="shared" si="11"/>
        <v>0.11</v>
      </c>
      <c r="AA11" s="7">
        <f t="shared" si="11"/>
        <v>0.28000000000000003</v>
      </c>
    </row>
    <row r="12" spans="1:27" x14ac:dyDescent="0.3">
      <c r="A12" s="7">
        <v>4194304</v>
      </c>
      <c r="B12" s="7">
        <v>8</v>
      </c>
      <c r="C12" s="7">
        <v>1</v>
      </c>
      <c r="D12" s="7">
        <v>16</v>
      </c>
      <c r="E12" s="7">
        <v>4</v>
      </c>
      <c r="F12" s="7">
        <v>0</v>
      </c>
      <c r="G12" s="7">
        <v>224.922</v>
      </c>
      <c r="H12" s="7">
        <v>0.21886700000000001</v>
      </c>
      <c r="I12" s="7">
        <v>3.0728999999999999E-2</v>
      </c>
      <c r="J12" s="7">
        <v>0.187943</v>
      </c>
      <c r="K12" s="7">
        <v>5.7520000000000002E-3</v>
      </c>
      <c r="L12" s="7">
        <v>8.5400000000000005E-4</v>
      </c>
      <c r="M12" s="7">
        <v>3.0646E-2</v>
      </c>
      <c r="N12" s="7">
        <f t="shared" si="0"/>
        <v>0.22547300000000001</v>
      </c>
      <c r="O12" s="7">
        <f t="shared" si="1"/>
        <v>3.7335E-2</v>
      </c>
      <c r="P12" s="7">
        <f t="shared" si="2"/>
        <v>0.187943</v>
      </c>
      <c r="Q12" s="7">
        <f t="shared" si="3"/>
        <v>6.6059999999999999E-3</v>
      </c>
      <c r="R12" s="7">
        <f t="shared" si="4"/>
        <v>3.0646E-2</v>
      </c>
      <c r="S12" s="7">
        <f t="shared" si="5"/>
        <v>0.17</v>
      </c>
      <c r="T12" s="7">
        <f t="shared" si="6"/>
        <v>0.83</v>
      </c>
      <c r="U12" s="7">
        <f t="shared" si="7"/>
        <v>0.18</v>
      </c>
      <c r="V12" s="7">
        <f t="shared" si="8"/>
        <v>0.82</v>
      </c>
      <c r="W12" s="15">
        <f t="shared" ref="W12:AA14" si="12">ROUND(N$13/N12,2)</f>
        <v>1.01</v>
      </c>
      <c r="X12" s="7">
        <f t="shared" si="12"/>
        <v>3.52</v>
      </c>
      <c r="Y12" s="7">
        <f t="shared" si="12"/>
        <v>0.51</v>
      </c>
      <c r="Z12" s="7">
        <f t="shared" si="12"/>
        <v>1.36</v>
      </c>
      <c r="AA12" s="7">
        <f t="shared" si="12"/>
        <v>4</v>
      </c>
    </row>
    <row r="13" spans="1:27" x14ac:dyDescent="0.3">
      <c r="A13" s="7">
        <v>4194304</v>
      </c>
      <c r="B13" s="7">
        <v>8</v>
      </c>
      <c r="C13" s="7">
        <v>0</v>
      </c>
      <c r="D13" s="7">
        <v>64</v>
      </c>
      <c r="E13" s="7">
        <v>8</v>
      </c>
      <c r="F13" s="7">
        <v>1</v>
      </c>
      <c r="G13" s="7">
        <v>223.87719999999999</v>
      </c>
      <c r="H13" s="7">
        <v>0.217727</v>
      </c>
      <c r="I13" s="7">
        <v>0.12260799999999999</v>
      </c>
      <c r="J13" s="7">
        <v>9.4932000000000002E-2</v>
      </c>
      <c r="K13" s="7">
        <v>5.842E-3</v>
      </c>
      <c r="L13" s="7">
        <v>3.1549999999999998E-3</v>
      </c>
      <c r="M13" s="7">
        <v>0.122519</v>
      </c>
      <c r="N13" s="7">
        <f t="shared" si="0"/>
        <v>0.22672399999999998</v>
      </c>
      <c r="O13" s="7">
        <f t="shared" si="1"/>
        <v>0.13160499999999997</v>
      </c>
      <c r="P13" s="7">
        <f t="shared" si="2"/>
        <v>9.4932000000000002E-2</v>
      </c>
      <c r="Q13" s="7">
        <f t="shared" si="3"/>
        <v>8.9969999999999998E-3</v>
      </c>
      <c r="R13" s="7">
        <f t="shared" si="4"/>
        <v>0.122519</v>
      </c>
      <c r="S13" s="7">
        <f t="shared" si="5"/>
        <v>0.57999999999999996</v>
      </c>
      <c r="T13" s="7">
        <f t="shared" si="6"/>
        <v>0.42</v>
      </c>
      <c r="U13" s="7">
        <f t="shared" si="7"/>
        <v>7.0000000000000007E-2</v>
      </c>
      <c r="V13" s="7">
        <f t="shared" si="8"/>
        <v>0.93</v>
      </c>
      <c r="W13" s="7">
        <f t="shared" si="12"/>
        <v>1</v>
      </c>
      <c r="X13" s="7">
        <f t="shared" si="12"/>
        <v>1</v>
      </c>
      <c r="Y13" s="7">
        <f t="shared" si="12"/>
        <v>1</v>
      </c>
      <c r="Z13" s="7">
        <f t="shared" si="12"/>
        <v>1</v>
      </c>
      <c r="AA13" s="7">
        <f t="shared" si="12"/>
        <v>1</v>
      </c>
    </row>
    <row r="14" spans="1:27" x14ac:dyDescent="0.3">
      <c r="A14" s="7">
        <v>4194304</v>
      </c>
      <c r="B14" s="7">
        <v>8</v>
      </c>
      <c r="C14" s="7">
        <v>-1</v>
      </c>
      <c r="D14" s="7">
        <v>256</v>
      </c>
      <c r="E14" s="7">
        <v>16</v>
      </c>
      <c r="F14" s="7">
        <v>18</v>
      </c>
      <c r="G14" s="7">
        <v>547.37869999999998</v>
      </c>
      <c r="H14" s="7">
        <v>0.541381</v>
      </c>
      <c r="I14" s="7">
        <v>0.47270600000000002</v>
      </c>
      <c r="J14" s="7">
        <v>6.8485000000000004E-2</v>
      </c>
      <c r="K14" s="7">
        <v>5.679E-3</v>
      </c>
      <c r="L14" s="7">
        <v>3.9170999999999997E-2</v>
      </c>
      <c r="M14" s="7">
        <v>0.47260799999999997</v>
      </c>
      <c r="N14" s="7">
        <f t="shared" si="0"/>
        <v>0.58623099999999995</v>
      </c>
      <c r="O14" s="7">
        <f t="shared" si="1"/>
        <v>0.51755600000000002</v>
      </c>
      <c r="P14" s="7">
        <f t="shared" si="2"/>
        <v>6.8485000000000004E-2</v>
      </c>
      <c r="Q14" s="7">
        <f t="shared" si="3"/>
        <v>4.4850000000000001E-2</v>
      </c>
      <c r="R14" s="7">
        <f t="shared" si="4"/>
        <v>0.47260799999999997</v>
      </c>
      <c r="S14" s="7">
        <f t="shared" si="5"/>
        <v>0.88</v>
      </c>
      <c r="T14" s="7">
        <f t="shared" si="6"/>
        <v>0.12</v>
      </c>
      <c r="U14" s="7">
        <f t="shared" si="7"/>
        <v>0.09</v>
      </c>
      <c r="V14" s="7">
        <f t="shared" si="8"/>
        <v>0.91</v>
      </c>
      <c r="W14" s="7">
        <f t="shared" si="12"/>
        <v>0.39</v>
      </c>
      <c r="X14" s="7">
        <f t="shared" si="12"/>
        <v>0.25</v>
      </c>
      <c r="Y14" s="7">
        <f t="shared" si="12"/>
        <v>1.39</v>
      </c>
      <c r="Z14" s="7">
        <f t="shared" si="12"/>
        <v>0.2</v>
      </c>
      <c r="AA14" s="7">
        <f t="shared" si="12"/>
        <v>0.26</v>
      </c>
    </row>
    <row r="15" spans="1:27" x14ac:dyDescent="0.3">
      <c r="A15" s="7">
        <v>16777216</v>
      </c>
      <c r="B15" s="7">
        <v>9</v>
      </c>
      <c r="C15" s="7">
        <v>1</v>
      </c>
      <c r="D15" s="7">
        <v>16</v>
      </c>
      <c r="E15" s="7">
        <v>4</v>
      </c>
      <c r="F15" s="7">
        <v>0</v>
      </c>
      <c r="G15" s="7">
        <v>881.33720000000005</v>
      </c>
      <c r="H15" s="7">
        <v>0.859375</v>
      </c>
      <c r="I15" s="7">
        <v>0.120502</v>
      </c>
      <c r="J15" s="7">
        <v>0.73867899999999997</v>
      </c>
      <c r="K15" s="7">
        <v>2.1632999999999999E-2</v>
      </c>
      <c r="L15" s="7">
        <v>8.1899999999999996E-4</v>
      </c>
      <c r="M15" s="7">
        <v>0.120422</v>
      </c>
      <c r="N15" s="7">
        <f t="shared" si="0"/>
        <v>0.88182700000000003</v>
      </c>
      <c r="O15" s="7">
        <f t="shared" si="1"/>
        <v>0.142954</v>
      </c>
      <c r="P15" s="7">
        <f t="shared" si="2"/>
        <v>0.73867899999999997</v>
      </c>
      <c r="Q15" s="7">
        <f t="shared" si="3"/>
        <v>2.2452E-2</v>
      </c>
      <c r="R15" s="7">
        <f t="shared" si="4"/>
        <v>0.120422</v>
      </c>
      <c r="S15" s="7">
        <f t="shared" si="5"/>
        <v>0.16</v>
      </c>
      <c r="T15" s="7">
        <f t="shared" si="6"/>
        <v>0.84</v>
      </c>
      <c r="U15" s="7">
        <f t="shared" si="7"/>
        <v>0.16</v>
      </c>
      <c r="V15" s="7">
        <f t="shared" si="8"/>
        <v>0.84</v>
      </c>
      <c r="W15" s="15">
        <f t="shared" ref="W15:AA17" si="13">ROUND(N$16/N15,2)</f>
        <v>0.99</v>
      </c>
      <c r="X15" s="7">
        <f t="shared" si="13"/>
        <v>3.52</v>
      </c>
      <c r="Y15" s="7">
        <f t="shared" si="13"/>
        <v>0.5</v>
      </c>
      <c r="Z15" s="7">
        <f t="shared" si="13"/>
        <v>1.1200000000000001</v>
      </c>
      <c r="AA15" s="7">
        <f t="shared" si="13"/>
        <v>3.97</v>
      </c>
    </row>
    <row r="16" spans="1:27" x14ac:dyDescent="0.3">
      <c r="A16" s="7">
        <v>16777216</v>
      </c>
      <c r="B16" s="7">
        <v>9</v>
      </c>
      <c r="C16" s="7">
        <v>0</v>
      </c>
      <c r="D16" s="7">
        <v>64</v>
      </c>
      <c r="E16" s="7">
        <v>8</v>
      </c>
      <c r="F16" s="7">
        <v>1</v>
      </c>
      <c r="G16" s="7">
        <v>870.77919999999995</v>
      </c>
      <c r="H16" s="7">
        <v>0.84842099999999998</v>
      </c>
      <c r="I16" s="7">
        <v>0.47761900000000002</v>
      </c>
      <c r="J16" s="7">
        <v>0.37058799999999997</v>
      </c>
      <c r="K16" s="7">
        <v>2.2039E-2</v>
      </c>
      <c r="L16" s="7">
        <v>3.1329999999999999E-3</v>
      </c>
      <c r="M16" s="7">
        <v>0.47752499999999998</v>
      </c>
      <c r="N16" s="7">
        <f t="shared" si="0"/>
        <v>0.87359300000000006</v>
      </c>
      <c r="O16" s="7">
        <f t="shared" si="1"/>
        <v>0.50279099999999999</v>
      </c>
      <c r="P16" s="7">
        <f t="shared" si="2"/>
        <v>0.37058799999999997</v>
      </c>
      <c r="Q16" s="7">
        <f t="shared" si="3"/>
        <v>2.5172E-2</v>
      </c>
      <c r="R16" s="7">
        <f t="shared" si="4"/>
        <v>0.47752499999999998</v>
      </c>
      <c r="S16" s="7">
        <f t="shared" si="5"/>
        <v>0.57999999999999996</v>
      </c>
      <c r="T16" s="7">
        <f t="shared" si="6"/>
        <v>0.42</v>
      </c>
      <c r="U16" s="7">
        <f t="shared" si="7"/>
        <v>0.05</v>
      </c>
      <c r="V16" s="7">
        <f t="shared" si="8"/>
        <v>0.95</v>
      </c>
      <c r="W16" s="7">
        <f t="shared" si="13"/>
        <v>1</v>
      </c>
      <c r="X16" s="7">
        <f t="shared" si="13"/>
        <v>1</v>
      </c>
      <c r="Y16" s="7">
        <f t="shared" si="13"/>
        <v>1</v>
      </c>
      <c r="Z16" s="7">
        <f t="shared" si="13"/>
        <v>1</v>
      </c>
      <c r="AA16" s="7">
        <f t="shared" si="13"/>
        <v>1</v>
      </c>
    </row>
    <row r="17" spans="1:27" x14ac:dyDescent="0.3">
      <c r="A17" s="7">
        <v>16777216</v>
      </c>
      <c r="B17" s="7">
        <v>9</v>
      </c>
      <c r="C17" s="7">
        <v>-1</v>
      </c>
      <c r="D17" s="7">
        <v>256</v>
      </c>
      <c r="E17" s="7">
        <v>16</v>
      </c>
      <c r="F17" s="7">
        <v>18</v>
      </c>
      <c r="G17" s="7">
        <v>2201.9614000000001</v>
      </c>
      <c r="H17" s="7">
        <v>2.177972</v>
      </c>
      <c r="I17" s="7">
        <v>1.9006479999999999</v>
      </c>
      <c r="J17" s="7">
        <v>0.27711999999999998</v>
      </c>
      <c r="K17" s="7">
        <v>2.3616999999999999E-2</v>
      </c>
      <c r="L17" s="7">
        <v>3.9295999999999998E-2</v>
      </c>
      <c r="M17" s="7">
        <v>1.90055</v>
      </c>
      <c r="N17" s="7">
        <f t="shared" si="0"/>
        <v>2.2408849999999996</v>
      </c>
      <c r="O17" s="7">
        <f t="shared" si="1"/>
        <v>1.9635609999999999</v>
      </c>
      <c r="P17" s="7">
        <f t="shared" si="2"/>
        <v>0.27711999999999998</v>
      </c>
      <c r="Q17" s="7">
        <f t="shared" si="3"/>
        <v>6.2912999999999997E-2</v>
      </c>
      <c r="R17" s="7">
        <f t="shared" si="4"/>
        <v>1.90055</v>
      </c>
      <c r="S17" s="7">
        <f t="shared" si="5"/>
        <v>0.88</v>
      </c>
      <c r="T17" s="7">
        <f t="shared" si="6"/>
        <v>0.12</v>
      </c>
      <c r="U17" s="7">
        <f t="shared" si="7"/>
        <v>0.03</v>
      </c>
      <c r="V17" s="7">
        <f t="shared" si="8"/>
        <v>0.97</v>
      </c>
      <c r="W17" s="7">
        <f t="shared" si="13"/>
        <v>0.39</v>
      </c>
      <c r="X17" s="7">
        <f t="shared" si="13"/>
        <v>0.26</v>
      </c>
      <c r="Y17" s="7">
        <f t="shared" si="13"/>
        <v>1.34</v>
      </c>
      <c r="Z17" s="7">
        <f t="shared" si="13"/>
        <v>0.4</v>
      </c>
      <c r="AA17" s="7">
        <f t="shared" si="13"/>
        <v>0.25</v>
      </c>
    </row>
    <row r="18" spans="1:27" x14ac:dyDescent="0.3">
      <c r="H18" s="7" t="s">
        <v>49</v>
      </c>
    </row>
    <row r="19" spans="1:27" x14ac:dyDescent="0.3">
      <c r="N19" s="7" t="s">
        <v>50</v>
      </c>
      <c r="Q19" s="7" t="s">
        <v>51</v>
      </c>
    </row>
  </sheetData>
  <autoFilter ref="A2:V17" xr:uid="{00000000-0009-0000-0000-000002000000}">
    <sortState xmlns:xlrd2="http://schemas.microsoft.com/office/spreadsheetml/2017/richdata2" ref="A3:V17">
      <sortCondition ref="A3:A17"/>
    </sortState>
  </autoFilter>
  <mergeCells count="4">
    <mergeCell ref="A1:F1"/>
    <mergeCell ref="G1:M1"/>
    <mergeCell ref="N1:R1"/>
    <mergeCell ref="S1:V1"/>
  </mergeCell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3"/>
  <sheetViews>
    <sheetView topLeftCell="A8" zoomScaleNormal="100" workbookViewId="0">
      <selection activeCell="M55" sqref="M55"/>
    </sheetView>
  </sheetViews>
  <sheetFormatPr defaultColWidth="8.6640625" defaultRowHeight="14.4" x14ac:dyDescent="0.3"/>
  <sheetData>
    <row r="1" spans="1:9" x14ac:dyDescent="0.3">
      <c r="A1" s="7" t="s">
        <v>0</v>
      </c>
      <c r="B1" s="7" t="s">
        <v>1</v>
      </c>
      <c r="C1" s="7" t="s">
        <v>2</v>
      </c>
      <c r="D1" s="7" t="s">
        <v>3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</row>
    <row r="2" spans="1:9" x14ac:dyDescent="0.3">
      <c r="A2" s="7">
        <v>65536</v>
      </c>
      <c r="B2" s="7">
        <v>5</v>
      </c>
      <c r="C2" s="7">
        <v>1</v>
      </c>
      <c r="D2" s="7">
        <v>16</v>
      </c>
      <c r="E2" s="16">
        <f>ROUND(non_redundnat!K2/'RF 2'!N3,2)</f>
        <v>0.95</v>
      </c>
      <c r="F2" s="16">
        <f>ROUND(non_redundnat!L2/'RF 2'!O3,2)</f>
        <v>0.69</v>
      </c>
      <c r="G2" s="16">
        <f>ROUND(non_redundnat!M2/'RF 2'!P3,2)</f>
        <v>1.1299999999999999</v>
      </c>
      <c r="H2" s="16">
        <f>ROUND(non_redundnat!N2/'RF 2'!Q3,2)</f>
        <v>0.32</v>
      </c>
      <c r="I2" s="16">
        <f>ROUND(non_redundnat!O2/'RF 2'!R3,2)</f>
        <v>1.31</v>
      </c>
    </row>
    <row r="3" spans="1:9" x14ac:dyDescent="0.3">
      <c r="A3" s="7">
        <v>65536</v>
      </c>
      <c r="B3" s="7">
        <v>5</v>
      </c>
      <c r="C3" s="7">
        <v>0</v>
      </c>
      <c r="D3" s="7">
        <v>64</v>
      </c>
      <c r="E3" s="16">
        <f>ROUND(non_redundnat!K3/'RF 2'!N4,2)</f>
        <v>0.68</v>
      </c>
      <c r="F3" s="16">
        <f>ROUND(non_redundnat!L3/'RF 2'!O4,2)</f>
        <v>0.57999999999999996</v>
      </c>
      <c r="G3" s="16">
        <f>ROUND(non_redundnat!M3/'RF 2'!P4,2)</f>
        <v>1.05</v>
      </c>
      <c r="H3" s="16">
        <f>ROUND(non_redundnat!N3/'RF 2'!Q4,2)</f>
        <v>0.08</v>
      </c>
      <c r="I3" s="16">
        <f>ROUND(non_redundnat!O3/'RF 2'!R4,2)</f>
        <v>1.3</v>
      </c>
    </row>
    <row r="4" spans="1:9" x14ac:dyDescent="0.3">
      <c r="A4" s="7">
        <v>65536</v>
      </c>
      <c r="B4" s="7">
        <v>5</v>
      </c>
      <c r="C4" s="7">
        <v>-1</v>
      </c>
      <c r="D4" s="7">
        <v>256</v>
      </c>
      <c r="E4" s="16">
        <f>ROUND(non_redundnat!K4/'RF 2'!N5,2)</f>
        <v>0.26</v>
      </c>
      <c r="F4" s="16">
        <f>ROUND(non_redundnat!L4/'RF 2'!O5,2)</f>
        <v>0.23</v>
      </c>
      <c r="G4" s="16">
        <f>ROUND(non_redundnat!M4/'RF 2'!P5,2)</f>
        <v>1</v>
      </c>
      <c r="H4" s="16">
        <f>ROUND(non_redundnat!N4/'RF 2'!Q5,2)</f>
        <v>0.01</v>
      </c>
      <c r="I4" s="16">
        <f>ROUND(non_redundnat!O4/'RF 2'!R5,2)</f>
        <v>1.2</v>
      </c>
    </row>
    <row r="5" spans="1:9" x14ac:dyDescent="0.3">
      <c r="A5" s="7">
        <v>262144</v>
      </c>
      <c r="B5" s="7">
        <v>6</v>
      </c>
      <c r="C5" s="7">
        <v>1</v>
      </c>
      <c r="D5" s="7">
        <v>16</v>
      </c>
      <c r="E5" s="16">
        <f>ROUND(non_redundnat!K5/'RF 2'!N6,2)</f>
        <v>0.87</v>
      </c>
      <c r="F5" s="16">
        <f>ROUND(non_redundnat!L5/'RF 2'!O6,2)</f>
        <v>0.85</v>
      </c>
      <c r="G5" s="16">
        <f>ROUND(non_redundnat!M5/'RF 2'!P6,2)</f>
        <v>0.89</v>
      </c>
      <c r="H5" s="16">
        <f>ROUND(non_redundnat!N5/'RF 2'!Q6,2)</f>
        <v>0.62</v>
      </c>
      <c r="I5" s="16">
        <f>ROUND(non_redundnat!O5/'RF 2'!R6,2)</f>
        <v>0.96</v>
      </c>
    </row>
    <row r="6" spans="1:9" x14ac:dyDescent="0.3">
      <c r="A6" s="7">
        <v>262144</v>
      </c>
      <c r="B6" s="7">
        <v>6</v>
      </c>
      <c r="C6" s="7">
        <v>0</v>
      </c>
      <c r="D6" s="7">
        <v>64</v>
      </c>
      <c r="E6" s="16">
        <f>ROUND(non_redundnat!K6/'RF 2'!N7,2)</f>
        <v>0.79</v>
      </c>
      <c r="F6" s="16">
        <f>ROUND(non_redundnat!L6/'RF 2'!O7,2)</f>
        <v>0.76</v>
      </c>
      <c r="G6" s="16">
        <f>ROUND(non_redundnat!M6/'RF 2'!P7,2)</f>
        <v>0.86</v>
      </c>
      <c r="H6" s="16">
        <f>ROUND(non_redundnat!N6/'RF 2'!Q7,2)</f>
        <v>0.2</v>
      </c>
      <c r="I6" s="16">
        <f>ROUND(non_redundnat!O6/'RF 2'!R7,2)</f>
        <v>0.98</v>
      </c>
    </row>
    <row r="7" spans="1:9" x14ac:dyDescent="0.3">
      <c r="A7" s="7">
        <v>262144</v>
      </c>
      <c r="B7" s="7">
        <v>6</v>
      </c>
      <c r="C7" s="7">
        <v>-1</v>
      </c>
      <c r="D7" s="7">
        <v>256</v>
      </c>
      <c r="E7" s="16">
        <f>ROUND(non_redundnat!K7/'RF 2'!N8,2)</f>
        <v>0.53</v>
      </c>
      <c r="F7" s="16">
        <f>ROUND(non_redundnat!L7/'RF 2'!O8,2)</f>
        <v>0.5</v>
      </c>
      <c r="G7" s="16">
        <f>ROUND(non_redundnat!M7/'RF 2'!P8,2)</f>
        <v>0.93</v>
      </c>
      <c r="H7" s="16">
        <f>ROUND(non_redundnat!N7/'RF 2'!Q8,2)</f>
        <v>0.02</v>
      </c>
      <c r="I7" s="16">
        <f>ROUND(non_redundnat!O7/'RF 2'!R8,2)</f>
        <v>1.0900000000000001</v>
      </c>
    </row>
    <row r="8" spans="1:9" x14ac:dyDescent="0.3">
      <c r="A8" s="7">
        <v>1048576</v>
      </c>
      <c r="B8" s="7">
        <v>7</v>
      </c>
      <c r="C8" s="7">
        <v>1</v>
      </c>
      <c r="D8" s="7">
        <v>16</v>
      </c>
      <c r="E8" s="16">
        <f>ROUND(non_redundnat!K8/'RF 2'!N9,2)</f>
        <v>1.05</v>
      </c>
      <c r="F8" s="16">
        <f>ROUND(non_redundnat!L8/'RF 2'!O9,2)</f>
        <v>1.1000000000000001</v>
      </c>
      <c r="G8" s="16">
        <f>ROUND(non_redundnat!M8/'RF 2'!P9,2)</f>
        <v>1.04</v>
      </c>
      <c r="H8" s="16">
        <f>ROUND(non_redundnat!N8/'RF 2'!Q9,2)</f>
        <v>0.97</v>
      </c>
      <c r="I8" s="16">
        <f>ROUND(non_redundnat!O8/'RF 2'!R9,2)</f>
        <v>1.1299999999999999</v>
      </c>
    </row>
    <row r="9" spans="1:9" x14ac:dyDescent="0.3">
      <c r="A9" s="7">
        <v>1048576</v>
      </c>
      <c r="B9" s="7">
        <v>7</v>
      </c>
      <c r="C9" s="7">
        <v>0</v>
      </c>
      <c r="D9" s="7">
        <v>64</v>
      </c>
      <c r="E9" s="16">
        <f>ROUND(non_redundnat!K9/'RF 2'!N10,2)</f>
        <v>1</v>
      </c>
      <c r="F9" s="16">
        <f>ROUND(non_redundnat!L9/'RF 2'!O10,2)</f>
        <v>1.02</v>
      </c>
      <c r="G9" s="16">
        <f>ROUND(non_redundnat!M9/'RF 2'!P10,2)</f>
        <v>0.99</v>
      </c>
      <c r="H9" s="16">
        <f>ROUND(non_redundnat!N9/'RF 2'!Q10,2)</f>
        <v>0.49</v>
      </c>
      <c r="I9" s="16">
        <f>ROUND(non_redundnat!O9/'RF 2'!R10,2)</f>
        <v>1.0900000000000001</v>
      </c>
    </row>
    <row r="10" spans="1:9" x14ac:dyDescent="0.3">
      <c r="A10" s="7">
        <v>1048576</v>
      </c>
      <c r="B10" s="7">
        <v>7</v>
      </c>
      <c r="C10" s="7">
        <v>-1</v>
      </c>
      <c r="D10" s="7">
        <v>256</v>
      </c>
      <c r="E10" s="16">
        <f>ROUND(non_redundnat!K10/'RF 2'!N11,2)</f>
        <v>0.86</v>
      </c>
      <c r="F10" s="16">
        <f>ROUND(non_redundnat!L10/'RF 2'!O11,2)</f>
        <v>0.85</v>
      </c>
      <c r="G10" s="16">
        <f>ROUND(non_redundnat!M10/'RF 2'!P11,2)</f>
        <v>0.98</v>
      </c>
      <c r="H10" s="16">
        <f>ROUND(non_redundnat!N10/'RF 2'!Q11,2)</f>
        <v>0.05</v>
      </c>
      <c r="I10" s="16">
        <f>ROUND(non_redundnat!O10/'RF 2'!R11,2)</f>
        <v>1.1200000000000001</v>
      </c>
    </row>
    <row r="11" spans="1:9" x14ac:dyDescent="0.3">
      <c r="A11" s="7">
        <v>4194304</v>
      </c>
      <c r="B11" s="7">
        <v>8</v>
      </c>
      <c r="C11" s="7">
        <v>1</v>
      </c>
      <c r="D11" s="7">
        <v>16</v>
      </c>
      <c r="E11" s="16">
        <f>ROUND(non_redundnat!K11/'RF 2'!N12,2)</f>
        <v>1.02</v>
      </c>
      <c r="F11" s="16">
        <f>ROUND(non_redundnat!L11/'RF 2'!O12,2)</f>
        <v>1.1200000000000001</v>
      </c>
      <c r="G11" s="16">
        <f>ROUND(non_redundnat!M11/'RF 2'!P12,2)</f>
        <v>1</v>
      </c>
      <c r="H11" s="16">
        <f>ROUND(non_redundnat!N11/'RF 2'!Q12,2)</f>
        <v>1.28</v>
      </c>
      <c r="I11" s="16">
        <f>ROUND(non_redundnat!O11/'RF 2'!R12,2)</f>
        <v>1.0900000000000001</v>
      </c>
    </row>
    <row r="12" spans="1:9" x14ac:dyDescent="0.3">
      <c r="A12" s="7">
        <v>4194304</v>
      </c>
      <c r="B12" s="7">
        <v>8</v>
      </c>
      <c r="C12" s="7">
        <v>0</v>
      </c>
      <c r="D12" s="7">
        <v>64</v>
      </c>
      <c r="E12" s="16">
        <f>ROUND(non_redundnat!K12/'RF 2'!N13,2)</f>
        <v>1.04</v>
      </c>
      <c r="F12" s="16">
        <f>ROUND(non_redundnat!L12/'RF 2'!O13,2)</f>
        <v>1.08</v>
      </c>
      <c r="G12" s="16">
        <f>ROUND(non_redundnat!M12/'RF 2'!P13,2)</f>
        <v>0.99</v>
      </c>
      <c r="H12" s="16">
        <f>ROUND(non_redundnat!N12/'RF 2'!Q13,2)</f>
        <v>0.92</v>
      </c>
      <c r="I12" s="16">
        <f>ROUND(non_redundnat!O12/'RF 2'!R13,2)</f>
        <v>1.1000000000000001</v>
      </c>
    </row>
    <row r="13" spans="1:9" x14ac:dyDescent="0.3">
      <c r="A13" s="7">
        <v>4194304</v>
      </c>
      <c r="B13" s="7">
        <v>8</v>
      </c>
      <c r="C13" s="7">
        <v>-1</v>
      </c>
      <c r="D13" s="7">
        <v>256</v>
      </c>
      <c r="E13" s="16">
        <f>ROUND(non_redundnat!K13/'RF 2'!N14,2)</f>
        <v>1.04</v>
      </c>
      <c r="F13" s="16">
        <f>ROUND(non_redundnat!L13/'RF 2'!O14,2)</f>
        <v>1.05</v>
      </c>
      <c r="G13" s="16">
        <f>ROUND(non_redundnat!M13/'RF 2'!P14,2)</f>
        <v>1.01</v>
      </c>
      <c r="H13" s="16">
        <f>ROUND(non_redundnat!N13/'RF 2'!Q14,2)</f>
        <v>0.21</v>
      </c>
      <c r="I13" s="16">
        <f>ROUND(non_redundnat!O13/'RF 2'!R14,2)</f>
        <v>1.1299999999999999</v>
      </c>
    </row>
    <row r="14" spans="1:9" x14ac:dyDescent="0.3">
      <c r="A14" s="7">
        <v>16777216</v>
      </c>
      <c r="B14" s="7">
        <v>9</v>
      </c>
      <c r="C14" s="7">
        <v>1</v>
      </c>
      <c r="D14" s="7">
        <v>16</v>
      </c>
      <c r="E14" s="16">
        <f>ROUND(non_redundnat!K14/'RF 2'!N15,2)</f>
        <v>1.04</v>
      </c>
      <c r="F14" s="16">
        <f>ROUND(non_redundnat!L14/'RF 2'!O15,2)</f>
        <v>1.18</v>
      </c>
      <c r="G14" s="16">
        <f>ROUND(non_redundnat!M14/'RF 2'!P15,2)</f>
        <v>1.02</v>
      </c>
      <c r="H14" s="16">
        <f>ROUND(non_redundnat!N14/'RF 2'!Q15,2)</f>
        <v>1.6</v>
      </c>
      <c r="I14" s="16">
        <f>ROUND(non_redundnat!O14/'RF 2'!R15,2)</f>
        <v>1.1000000000000001</v>
      </c>
    </row>
    <row r="15" spans="1:9" x14ac:dyDescent="0.3">
      <c r="A15" s="7">
        <v>16777216</v>
      </c>
      <c r="B15" s="7">
        <v>9</v>
      </c>
      <c r="C15" s="7">
        <v>0</v>
      </c>
      <c r="D15" s="7">
        <v>64</v>
      </c>
      <c r="E15" s="16">
        <f>ROUND(non_redundnat!K15/'RF 2'!N16,2)</f>
        <v>1.06</v>
      </c>
      <c r="F15" s="16">
        <f>ROUND(non_redundnat!L15/'RF 2'!O16,2)</f>
        <v>1.1100000000000001</v>
      </c>
      <c r="G15" s="16">
        <f>ROUND(non_redundnat!M15/'RF 2'!P16,2)</f>
        <v>1</v>
      </c>
      <c r="H15" s="16">
        <f>ROUND(non_redundnat!N15/'RF 2'!Q16,2)</f>
        <v>1.29</v>
      </c>
      <c r="I15" s="16">
        <f>ROUND(non_redundnat!O15/'RF 2'!R16,2)</f>
        <v>1.1000000000000001</v>
      </c>
    </row>
    <row r="16" spans="1:9" x14ac:dyDescent="0.3">
      <c r="A16" s="7">
        <v>16777216</v>
      </c>
      <c r="B16" s="7">
        <v>9</v>
      </c>
      <c r="C16" s="7">
        <v>-1</v>
      </c>
      <c r="D16" s="7">
        <v>256</v>
      </c>
      <c r="E16" s="16">
        <f>ROUND(non_redundnat!K16/'RF 2'!N17,2)</f>
        <v>1.0900000000000001</v>
      </c>
      <c r="F16" s="16">
        <f>ROUND(non_redundnat!L16/'RF 2'!O17,2)</f>
        <v>1.1100000000000001</v>
      </c>
      <c r="G16" s="16">
        <f>ROUND(non_redundnat!M16/'RF 2'!P17,2)</f>
        <v>1</v>
      </c>
      <c r="H16" s="16">
        <f>ROUND(non_redundnat!N16/'RF 2'!Q17,2)</f>
        <v>0.54</v>
      </c>
      <c r="I16" s="16">
        <f>ROUND(non_redundnat!O16/'RF 2'!R17,2)</f>
        <v>1.1200000000000001</v>
      </c>
    </row>
    <row r="17" spans="6:22" x14ac:dyDescent="0.3">
      <c r="F17" s="16"/>
      <c r="G17" s="16"/>
      <c r="H17" s="16"/>
    </row>
    <row r="18" spans="6:22" x14ac:dyDescent="0.3">
      <c r="F18" s="16"/>
      <c r="G18" s="16"/>
      <c r="H18" s="16"/>
    </row>
    <row r="24" spans="6:22" x14ac:dyDescent="0.3">
      <c r="S24" s="7" t="str">
        <f>X!$A$1</f>
        <v>N</v>
      </c>
      <c r="T24" s="7" t="str">
        <f>X!$B$1</f>
        <v>L</v>
      </c>
      <c r="U24" s="7" t="str">
        <f>X!$C$1</f>
        <v>inc</v>
      </c>
      <c r="V24" s="9" t="str">
        <f>X!$E$1</f>
        <v>MLFMA_time</v>
      </c>
    </row>
    <row r="25" spans="6:22" x14ac:dyDescent="0.3">
      <c r="S25" s="7">
        <f>X!$A$2</f>
        <v>65536</v>
      </c>
      <c r="T25" s="7">
        <f>X!$B$2</f>
        <v>5</v>
      </c>
      <c r="U25" s="7">
        <f>X!$C$2</f>
        <v>1</v>
      </c>
      <c r="V25" s="16">
        <f>X!$E$2</f>
        <v>0.95</v>
      </c>
    </row>
    <row r="26" spans="6:22" x14ac:dyDescent="0.3">
      <c r="S26" s="7">
        <f>X!$A$3</f>
        <v>65536</v>
      </c>
      <c r="T26" s="7">
        <f>X!$B$3</f>
        <v>5</v>
      </c>
      <c r="U26" s="7">
        <f>X!$C$3</f>
        <v>0</v>
      </c>
      <c r="V26" s="16">
        <f>X!$E$3</f>
        <v>0.68</v>
      </c>
    </row>
    <row r="27" spans="6:22" x14ac:dyDescent="0.3">
      <c r="F27" s="16"/>
      <c r="G27" s="16"/>
      <c r="S27" s="7">
        <f>X!$A$4</f>
        <v>65536</v>
      </c>
      <c r="T27" s="7">
        <f>X!$B$4</f>
        <v>5</v>
      </c>
      <c r="U27" s="7">
        <f>X!$C$4</f>
        <v>-1</v>
      </c>
      <c r="V27" s="16">
        <f>X!$E$4</f>
        <v>0.26</v>
      </c>
    </row>
    <row r="28" spans="6:22" x14ac:dyDescent="0.3">
      <c r="F28" s="16"/>
      <c r="G28" s="16"/>
      <c r="S28" s="7">
        <f>X!$A$5</f>
        <v>262144</v>
      </c>
      <c r="T28" s="7">
        <f>X!$B$5</f>
        <v>6</v>
      </c>
      <c r="U28" s="7">
        <f>X!$C$5</f>
        <v>1</v>
      </c>
      <c r="V28" s="16">
        <f>X!$E$5</f>
        <v>0.87</v>
      </c>
    </row>
    <row r="29" spans="6:22" x14ac:dyDescent="0.3">
      <c r="F29" s="16"/>
      <c r="G29" s="16"/>
      <c r="S29" s="7">
        <f>X!$A$6</f>
        <v>262144</v>
      </c>
      <c r="T29" s="7">
        <f>X!$B$6</f>
        <v>6</v>
      </c>
      <c r="U29" s="7">
        <f>X!$C$6</f>
        <v>0</v>
      </c>
      <c r="V29" s="16">
        <f>X!$E$6</f>
        <v>0.79</v>
      </c>
    </row>
    <row r="30" spans="6:22" x14ac:dyDescent="0.3">
      <c r="F30" s="16"/>
      <c r="G30" s="16"/>
      <c r="S30" s="7">
        <f>X!$A$7</f>
        <v>262144</v>
      </c>
      <c r="T30" s="7">
        <f>X!$B$7</f>
        <v>6</v>
      </c>
      <c r="U30" s="7">
        <f>X!$C$7</f>
        <v>-1</v>
      </c>
      <c r="V30" s="16">
        <f>X!$E$7</f>
        <v>0.53</v>
      </c>
    </row>
    <row r="31" spans="6:22" x14ac:dyDescent="0.3">
      <c r="F31" s="16"/>
      <c r="G31" s="16"/>
      <c r="S31" s="7">
        <f>X!$A$8</f>
        <v>1048576</v>
      </c>
      <c r="T31" s="7">
        <f>X!$B$8</f>
        <v>7</v>
      </c>
      <c r="U31" s="7">
        <f>X!$C$8</f>
        <v>1</v>
      </c>
      <c r="V31" s="16">
        <f>X!$E$8</f>
        <v>1.05</v>
      </c>
    </row>
    <row r="32" spans="6:22" x14ac:dyDescent="0.3">
      <c r="F32" s="16"/>
      <c r="G32" s="16"/>
      <c r="S32" s="7">
        <f>X!$A$9</f>
        <v>1048576</v>
      </c>
      <c r="T32" s="7">
        <f>X!$B$9</f>
        <v>7</v>
      </c>
      <c r="U32" s="7">
        <f>X!$C$9</f>
        <v>0</v>
      </c>
      <c r="V32" s="16">
        <f>X!$E$9</f>
        <v>1</v>
      </c>
    </row>
    <row r="33" spans="1:22" x14ac:dyDescent="0.3">
      <c r="F33" s="16"/>
      <c r="G33" s="16"/>
      <c r="S33" s="7">
        <f>X!$A$10</f>
        <v>1048576</v>
      </c>
      <c r="T33" s="7">
        <f>X!$B$10</f>
        <v>7</v>
      </c>
      <c r="U33" s="7">
        <f>X!$C$10</f>
        <v>-1</v>
      </c>
      <c r="V33" s="16">
        <f>X!$E$10</f>
        <v>0.86</v>
      </c>
    </row>
    <row r="34" spans="1:22" x14ac:dyDescent="0.3">
      <c r="F34" s="16"/>
      <c r="G34" s="16"/>
      <c r="S34" s="7">
        <f>X!$A$11</f>
        <v>4194304</v>
      </c>
      <c r="T34" s="7">
        <f>X!$B$11</f>
        <v>8</v>
      </c>
      <c r="U34" s="7">
        <f>X!$C$11</f>
        <v>1</v>
      </c>
      <c r="V34" s="16">
        <f>X!$E$11</f>
        <v>1.02</v>
      </c>
    </row>
    <row r="35" spans="1:22" x14ac:dyDescent="0.3">
      <c r="S35" s="7">
        <f>X!$A$12</f>
        <v>4194304</v>
      </c>
      <c r="T35" s="7">
        <f>X!$B$12</f>
        <v>8</v>
      </c>
      <c r="U35" s="7">
        <f>X!$C$12</f>
        <v>0</v>
      </c>
      <c r="V35" s="16">
        <f>X!$E$12</f>
        <v>1.04</v>
      </c>
    </row>
    <row r="36" spans="1:22" x14ac:dyDescent="0.3">
      <c r="S36" s="7">
        <f>X!$A$13</f>
        <v>4194304</v>
      </c>
      <c r="T36" s="7">
        <f>X!$B$13</f>
        <v>8</v>
      </c>
      <c r="U36" s="7">
        <f>X!$C$13</f>
        <v>-1</v>
      </c>
      <c r="V36" s="16">
        <f>X!$E$13</f>
        <v>1.04</v>
      </c>
    </row>
    <row r="37" spans="1:22" x14ac:dyDescent="0.3">
      <c r="A37" s="7" t="s">
        <v>0</v>
      </c>
      <c r="B37" s="7" t="s">
        <v>1</v>
      </c>
      <c r="C37" s="7" t="s">
        <v>2</v>
      </c>
      <c r="D37" s="7" t="s">
        <v>3</v>
      </c>
      <c r="E37" s="7" t="s">
        <v>5</v>
      </c>
      <c r="F37" s="7" t="s">
        <v>6</v>
      </c>
      <c r="G37" s="7" t="s">
        <v>7</v>
      </c>
      <c r="H37" s="7" t="s">
        <v>8</v>
      </c>
      <c r="I37" s="7" t="s">
        <v>9</v>
      </c>
      <c r="S37" s="7">
        <f>X!$A$14</f>
        <v>16777216</v>
      </c>
      <c r="T37" s="7">
        <f>X!$B$14</f>
        <v>9</v>
      </c>
      <c r="U37" s="7">
        <f>X!$C$14</f>
        <v>1</v>
      </c>
      <c r="V37" s="16">
        <f>X!$E$14</f>
        <v>1.04</v>
      </c>
    </row>
    <row r="38" spans="1:22" x14ac:dyDescent="0.3">
      <c r="A38" s="7">
        <v>65536</v>
      </c>
      <c r="B38" s="7">
        <v>5</v>
      </c>
      <c r="C38" s="7">
        <v>-1</v>
      </c>
      <c r="D38" s="7">
        <v>256</v>
      </c>
      <c r="E38" s="7">
        <v>0.26</v>
      </c>
      <c r="F38" s="7">
        <v>0.23</v>
      </c>
      <c r="G38" s="7">
        <v>1</v>
      </c>
      <c r="H38" s="7">
        <v>0.01</v>
      </c>
      <c r="I38" s="7">
        <v>1.2</v>
      </c>
      <c r="S38" s="7">
        <f>X!$A$15</f>
        <v>16777216</v>
      </c>
      <c r="T38" s="7">
        <f>X!$B$15</f>
        <v>9</v>
      </c>
      <c r="U38" s="7">
        <f>X!$C$15</f>
        <v>0</v>
      </c>
      <c r="V38" s="16">
        <f>X!$E$15</f>
        <v>1.06</v>
      </c>
    </row>
    <row r="39" spans="1:22" x14ac:dyDescent="0.3">
      <c r="A39" s="7">
        <v>262144</v>
      </c>
      <c r="B39" s="7">
        <v>6</v>
      </c>
      <c r="C39" s="7">
        <v>-1</v>
      </c>
      <c r="D39" s="7">
        <v>256</v>
      </c>
      <c r="E39" s="7">
        <v>0.53</v>
      </c>
      <c r="F39" s="7">
        <v>0.5</v>
      </c>
      <c r="G39" s="7">
        <v>0.93</v>
      </c>
      <c r="H39" s="7">
        <v>0.02</v>
      </c>
      <c r="I39" s="7">
        <v>1.0900000000000001</v>
      </c>
      <c r="S39" s="7">
        <f>X!$A$16</f>
        <v>16777216</v>
      </c>
      <c r="T39" s="7">
        <f>X!$B$16</f>
        <v>9</v>
      </c>
      <c r="U39" s="7">
        <f>X!$C$16</f>
        <v>-1</v>
      </c>
      <c r="V39" s="16">
        <f>X!$E$16</f>
        <v>1.0900000000000001</v>
      </c>
    </row>
    <row r="40" spans="1:22" x14ac:dyDescent="0.3">
      <c r="A40" s="7">
        <v>1048576</v>
      </c>
      <c r="B40" s="7">
        <v>7</v>
      </c>
      <c r="C40" s="7">
        <v>-1</v>
      </c>
      <c r="D40" s="7">
        <v>256</v>
      </c>
      <c r="E40" s="7">
        <v>0.86</v>
      </c>
      <c r="F40" s="7">
        <v>0.85</v>
      </c>
      <c r="G40" s="7">
        <v>0.98</v>
      </c>
      <c r="H40" s="7">
        <v>0.05</v>
      </c>
      <c r="I40" s="7">
        <v>1.1200000000000001</v>
      </c>
    </row>
    <row r="41" spans="1:22" x14ac:dyDescent="0.3">
      <c r="A41" s="7">
        <v>4194304</v>
      </c>
      <c r="B41" s="7">
        <v>8</v>
      </c>
      <c r="C41" s="7">
        <v>-1</v>
      </c>
      <c r="D41" s="7">
        <v>256</v>
      </c>
      <c r="E41" s="7">
        <v>1.04</v>
      </c>
      <c r="F41" s="7">
        <v>1.05</v>
      </c>
      <c r="G41" s="7">
        <v>1.01</v>
      </c>
      <c r="H41" s="7">
        <v>0.21</v>
      </c>
      <c r="I41" s="7">
        <v>1.1299999999999999</v>
      </c>
    </row>
    <row r="42" spans="1:22" x14ac:dyDescent="0.3">
      <c r="A42" s="7">
        <v>16777216</v>
      </c>
      <c r="B42" s="7">
        <v>9</v>
      </c>
      <c r="C42" s="7">
        <v>-1</v>
      </c>
      <c r="D42" s="7">
        <v>256</v>
      </c>
      <c r="E42" s="7">
        <v>1.0900000000000001</v>
      </c>
      <c r="F42" s="7">
        <v>1.1100000000000001</v>
      </c>
      <c r="G42" s="7">
        <v>1</v>
      </c>
      <c r="H42" s="7">
        <v>0.54</v>
      </c>
      <c r="I42" s="7">
        <v>1.1200000000000001</v>
      </c>
    </row>
    <row r="43" spans="1:22" x14ac:dyDescent="0.3">
      <c r="A43" s="7">
        <v>65536</v>
      </c>
      <c r="B43" s="7">
        <v>5</v>
      </c>
      <c r="C43" s="7">
        <v>0</v>
      </c>
      <c r="D43" s="7">
        <v>64</v>
      </c>
      <c r="E43" s="7">
        <v>0.68</v>
      </c>
      <c r="F43" s="7">
        <v>0.57999999999999996</v>
      </c>
      <c r="G43" s="7">
        <v>1.05</v>
      </c>
      <c r="H43" s="7">
        <v>0.08</v>
      </c>
      <c r="I43" s="7">
        <v>1.3</v>
      </c>
    </row>
    <row r="44" spans="1:22" x14ac:dyDescent="0.3">
      <c r="A44" s="7">
        <v>262144</v>
      </c>
      <c r="B44" s="7">
        <v>6</v>
      </c>
      <c r="C44" s="7">
        <v>0</v>
      </c>
      <c r="D44" s="7">
        <v>64</v>
      </c>
      <c r="E44" s="7">
        <v>0.79</v>
      </c>
      <c r="F44" s="7">
        <v>0.76</v>
      </c>
      <c r="G44" s="7">
        <v>0.86</v>
      </c>
      <c r="H44" s="7">
        <v>0.2</v>
      </c>
      <c r="I44" s="7">
        <v>0.98</v>
      </c>
    </row>
    <row r="45" spans="1:22" x14ac:dyDescent="0.3">
      <c r="A45" s="7">
        <v>1048576</v>
      </c>
      <c r="B45" s="7">
        <v>7</v>
      </c>
      <c r="C45" s="7">
        <v>0</v>
      </c>
      <c r="D45" s="7">
        <v>64</v>
      </c>
      <c r="E45" s="7">
        <v>1</v>
      </c>
      <c r="F45" s="7">
        <v>1.02</v>
      </c>
      <c r="G45" s="7">
        <v>0.99</v>
      </c>
      <c r="H45" s="7">
        <v>0.49</v>
      </c>
      <c r="I45" s="7">
        <v>1.0900000000000001</v>
      </c>
    </row>
    <row r="46" spans="1:22" x14ac:dyDescent="0.3">
      <c r="A46" s="7">
        <v>4194304</v>
      </c>
      <c r="B46" s="7">
        <v>8</v>
      </c>
      <c r="C46" s="7">
        <v>0</v>
      </c>
      <c r="D46" s="7">
        <v>64</v>
      </c>
      <c r="E46" s="7">
        <v>1.04</v>
      </c>
      <c r="F46" s="7">
        <v>1.08</v>
      </c>
      <c r="G46" s="7">
        <v>0.99</v>
      </c>
      <c r="H46" s="7">
        <v>0.92</v>
      </c>
      <c r="I46" s="7">
        <v>1.1000000000000001</v>
      </c>
    </row>
    <row r="47" spans="1:22" x14ac:dyDescent="0.3">
      <c r="A47" s="7">
        <v>16777216</v>
      </c>
      <c r="B47" s="7">
        <v>9</v>
      </c>
      <c r="C47" s="7">
        <v>0</v>
      </c>
      <c r="D47" s="7">
        <v>64</v>
      </c>
      <c r="E47" s="7">
        <v>1.06</v>
      </c>
      <c r="F47" s="7">
        <v>1.1100000000000001</v>
      </c>
      <c r="G47" s="7">
        <v>1</v>
      </c>
      <c r="H47" s="7">
        <v>1.29</v>
      </c>
      <c r="I47" s="7">
        <v>1.1000000000000001</v>
      </c>
    </row>
    <row r="48" spans="1:22" x14ac:dyDescent="0.3">
      <c r="A48" s="7">
        <v>65536</v>
      </c>
      <c r="B48" s="7">
        <v>5</v>
      </c>
      <c r="C48" s="7">
        <v>1</v>
      </c>
      <c r="D48" s="7">
        <v>16</v>
      </c>
      <c r="E48" s="7">
        <v>0.95</v>
      </c>
      <c r="F48" s="7">
        <v>0.69</v>
      </c>
      <c r="G48" s="7">
        <v>1.1299999999999999</v>
      </c>
      <c r="H48" s="7">
        <v>0.32</v>
      </c>
      <c r="I48" s="7">
        <v>1.31</v>
      </c>
    </row>
    <row r="49" spans="1:9" x14ac:dyDescent="0.3">
      <c r="A49" s="7">
        <v>262144</v>
      </c>
      <c r="B49" s="7">
        <v>6</v>
      </c>
      <c r="C49" s="7">
        <v>1</v>
      </c>
      <c r="D49" s="7">
        <v>16</v>
      </c>
      <c r="E49" s="7">
        <v>0.87</v>
      </c>
      <c r="F49" s="7">
        <v>0.85</v>
      </c>
      <c r="G49" s="7">
        <v>0.89</v>
      </c>
      <c r="H49" s="7">
        <v>0.62</v>
      </c>
      <c r="I49" s="7">
        <v>0.96</v>
      </c>
    </row>
    <row r="50" spans="1:9" x14ac:dyDescent="0.3">
      <c r="A50" s="7">
        <v>1048576</v>
      </c>
      <c r="B50" s="7">
        <v>7</v>
      </c>
      <c r="C50" s="7">
        <v>1</v>
      </c>
      <c r="D50" s="7">
        <v>16</v>
      </c>
      <c r="E50" s="7">
        <v>1.05</v>
      </c>
      <c r="F50" s="7">
        <v>1.1000000000000001</v>
      </c>
      <c r="G50" s="7">
        <v>1.04</v>
      </c>
      <c r="H50" s="7">
        <v>0.97</v>
      </c>
      <c r="I50" s="7">
        <v>1.1299999999999999</v>
      </c>
    </row>
    <row r="51" spans="1:9" x14ac:dyDescent="0.3">
      <c r="A51" s="7">
        <v>4194304</v>
      </c>
      <c r="B51" s="7">
        <v>8</v>
      </c>
      <c r="C51" s="7">
        <v>1</v>
      </c>
      <c r="D51" s="7">
        <v>16</v>
      </c>
      <c r="E51" s="7">
        <v>1.02</v>
      </c>
      <c r="F51" s="7">
        <v>1.1200000000000001</v>
      </c>
      <c r="G51" s="7">
        <v>1</v>
      </c>
      <c r="H51" s="7">
        <v>1.28</v>
      </c>
      <c r="I51" s="7">
        <v>1.0900000000000001</v>
      </c>
    </row>
    <row r="52" spans="1:9" x14ac:dyDescent="0.3">
      <c r="A52" s="7">
        <v>16777216</v>
      </c>
      <c r="B52" s="7">
        <v>9</v>
      </c>
      <c r="C52" s="7">
        <v>1</v>
      </c>
      <c r="D52" s="7">
        <v>16</v>
      </c>
      <c r="E52" s="7">
        <v>1.04</v>
      </c>
      <c r="F52" s="7">
        <v>1.18</v>
      </c>
      <c r="G52" s="7">
        <v>1.02</v>
      </c>
      <c r="H52" s="7">
        <v>1.6</v>
      </c>
      <c r="I52" s="7">
        <v>1.1000000000000001</v>
      </c>
    </row>
    <row r="58" spans="1:9" x14ac:dyDescent="0.3">
      <c r="A58" s="7" t="s">
        <v>0</v>
      </c>
      <c r="B58" s="7" t="s">
        <v>1</v>
      </c>
      <c r="C58" s="7" t="s">
        <v>3</v>
      </c>
      <c r="D58" s="9" t="s">
        <v>36</v>
      </c>
      <c r="E58" s="9" t="s">
        <v>52</v>
      </c>
      <c r="F58" s="9" t="s">
        <v>47</v>
      </c>
      <c r="G58" s="9" t="s">
        <v>53</v>
      </c>
    </row>
    <row r="59" spans="1:9" x14ac:dyDescent="0.3">
      <c r="A59" s="7">
        <v>65536</v>
      </c>
      <c r="B59" s="7">
        <v>5</v>
      </c>
      <c r="C59" s="7">
        <v>16</v>
      </c>
      <c r="D59" s="7">
        <v>0.95</v>
      </c>
      <c r="E59" s="7">
        <v>0.69</v>
      </c>
      <c r="F59" s="7">
        <v>0.32</v>
      </c>
      <c r="G59" s="7">
        <v>1.31</v>
      </c>
    </row>
    <row r="60" spans="1:9" x14ac:dyDescent="0.3">
      <c r="A60" s="7">
        <v>65536</v>
      </c>
      <c r="B60" s="7">
        <v>5</v>
      </c>
      <c r="C60" s="7">
        <v>64</v>
      </c>
      <c r="D60" s="7">
        <v>0.68</v>
      </c>
      <c r="E60" s="7">
        <v>0.57999999999999996</v>
      </c>
      <c r="F60" s="7">
        <v>0.08</v>
      </c>
      <c r="G60" s="7">
        <v>1.3</v>
      </c>
    </row>
    <row r="61" spans="1:9" x14ac:dyDescent="0.3">
      <c r="A61" s="7">
        <v>65536</v>
      </c>
      <c r="B61" s="7">
        <v>5</v>
      </c>
      <c r="C61" s="7">
        <v>256</v>
      </c>
      <c r="D61" s="7">
        <v>0.26</v>
      </c>
      <c r="E61" s="7">
        <v>0.23</v>
      </c>
      <c r="F61" s="7">
        <v>0.01</v>
      </c>
      <c r="G61" s="7">
        <v>1.2</v>
      </c>
    </row>
    <row r="62" spans="1:9" x14ac:dyDescent="0.3">
      <c r="A62" s="7">
        <v>262144</v>
      </c>
      <c r="B62" s="7">
        <v>6</v>
      </c>
      <c r="C62" s="7">
        <v>16</v>
      </c>
      <c r="D62" s="7">
        <v>0.87</v>
      </c>
      <c r="E62" s="7">
        <v>0.85</v>
      </c>
      <c r="F62" s="7">
        <v>0.62</v>
      </c>
      <c r="G62" s="7">
        <v>0.96</v>
      </c>
    </row>
    <row r="63" spans="1:9" x14ac:dyDescent="0.3">
      <c r="A63" s="7">
        <v>262144</v>
      </c>
      <c r="B63" s="7">
        <v>6</v>
      </c>
      <c r="C63" s="7">
        <v>64</v>
      </c>
      <c r="D63" s="7">
        <v>0.79</v>
      </c>
      <c r="E63" s="7">
        <v>0.76</v>
      </c>
      <c r="F63" s="7">
        <v>0.2</v>
      </c>
      <c r="G63" s="7">
        <v>0.98</v>
      </c>
    </row>
    <row r="64" spans="1:9" x14ac:dyDescent="0.3">
      <c r="A64" s="7">
        <v>262144</v>
      </c>
      <c r="B64" s="7">
        <v>6</v>
      </c>
      <c r="C64" s="7">
        <v>256</v>
      </c>
      <c r="D64" s="7">
        <v>0.53</v>
      </c>
      <c r="E64" s="7">
        <v>0.5</v>
      </c>
      <c r="F64" s="7">
        <v>0.02</v>
      </c>
      <c r="G64" s="7">
        <v>1.0900000000000001</v>
      </c>
    </row>
    <row r="65" spans="1:7" x14ac:dyDescent="0.3">
      <c r="A65" s="7">
        <v>1048576</v>
      </c>
      <c r="B65" s="7">
        <v>7</v>
      </c>
      <c r="C65" s="7">
        <v>16</v>
      </c>
      <c r="D65" s="7">
        <v>1.05</v>
      </c>
      <c r="E65" s="7">
        <v>1.1000000000000001</v>
      </c>
      <c r="F65" s="7">
        <v>0.97</v>
      </c>
      <c r="G65" s="7">
        <v>1.1299999999999999</v>
      </c>
    </row>
    <row r="66" spans="1:7" x14ac:dyDescent="0.3">
      <c r="A66" s="7">
        <v>1048576</v>
      </c>
      <c r="B66" s="7">
        <v>7</v>
      </c>
      <c r="C66" s="7">
        <v>64</v>
      </c>
      <c r="D66" s="7">
        <v>1</v>
      </c>
      <c r="E66" s="7">
        <v>1.02</v>
      </c>
      <c r="F66" s="7">
        <v>0.49</v>
      </c>
      <c r="G66" s="7">
        <v>1.0900000000000001</v>
      </c>
    </row>
    <row r="67" spans="1:7" x14ac:dyDescent="0.3">
      <c r="A67" s="7">
        <v>1048576</v>
      </c>
      <c r="B67" s="7">
        <v>7</v>
      </c>
      <c r="C67" s="7">
        <v>256</v>
      </c>
      <c r="D67" s="7">
        <v>0.86</v>
      </c>
      <c r="E67" s="7">
        <v>0.85</v>
      </c>
      <c r="F67" s="7">
        <v>0.05</v>
      </c>
      <c r="G67" s="7">
        <v>1.1200000000000001</v>
      </c>
    </row>
    <row r="68" spans="1:7" x14ac:dyDescent="0.3">
      <c r="A68" s="7">
        <v>4194304</v>
      </c>
      <c r="B68" s="7">
        <v>8</v>
      </c>
      <c r="C68" s="7">
        <v>16</v>
      </c>
      <c r="D68" s="7">
        <v>1.02</v>
      </c>
      <c r="E68" s="7">
        <v>1.1200000000000001</v>
      </c>
      <c r="F68" s="7">
        <v>1.28</v>
      </c>
      <c r="G68" s="7">
        <v>1.0900000000000001</v>
      </c>
    </row>
    <row r="69" spans="1:7" x14ac:dyDescent="0.3">
      <c r="A69" s="7">
        <v>4194304</v>
      </c>
      <c r="B69" s="7">
        <v>8</v>
      </c>
      <c r="C69" s="7">
        <v>64</v>
      </c>
      <c r="D69" s="7">
        <v>1.04</v>
      </c>
      <c r="E69" s="7">
        <v>1.08</v>
      </c>
      <c r="F69" s="7">
        <v>0.92</v>
      </c>
      <c r="G69" s="7">
        <v>1.1000000000000001</v>
      </c>
    </row>
    <row r="70" spans="1:7" x14ac:dyDescent="0.3">
      <c r="A70" s="7">
        <v>4194304</v>
      </c>
      <c r="B70" s="7">
        <v>8</v>
      </c>
      <c r="C70" s="7">
        <v>256</v>
      </c>
      <c r="D70" s="7">
        <v>1.04</v>
      </c>
      <c r="E70" s="7">
        <v>1.05</v>
      </c>
      <c r="F70" s="7">
        <v>0.21</v>
      </c>
      <c r="G70" s="7">
        <v>1.1299999999999999</v>
      </c>
    </row>
    <row r="71" spans="1:7" x14ac:dyDescent="0.3">
      <c r="A71" s="7">
        <v>16777216</v>
      </c>
      <c r="B71" s="7">
        <v>9</v>
      </c>
      <c r="C71" s="7">
        <v>16</v>
      </c>
      <c r="D71" s="7">
        <v>1.04</v>
      </c>
      <c r="E71" s="7">
        <v>1.18</v>
      </c>
      <c r="F71" s="7">
        <v>1.6</v>
      </c>
      <c r="G71" s="7">
        <v>1.1000000000000001</v>
      </c>
    </row>
    <row r="72" spans="1:7" x14ac:dyDescent="0.3">
      <c r="A72" s="7">
        <v>16777216</v>
      </c>
      <c r="B72" s="7">
        <v>9</v>
      </c>
      <c r="C72" s="7">
        <v>64</v>
      </c>
      <c r="D72" s="7">
        <v>1.06</v>
      </c>
      <c r="E72" s="7">
        <v>1.1100000000000001</v>
      </c>
      <c r="F72" s="7">
        <v>1.29</v>
      </c>
      <c r="G72" s="7">
        <v>1.1000000000000001</v>
      </c>
    </row>
    <row r="73" spans="1:7" x14ac:dyDescent="0.3">
      <c r="A73" s="7">
        <v>16777216</v>
      </c>
      <c r="B73" s="7">
        <v>9</v>
      </c>
      <c r="C73" s="7">
        <v>256</v>
      </c>
      <c r="D73" s="7">
        <v>1.0900000000000001</v>
      </c>
      <c r="E73" s="7">
        <v>1.1100000000000001</v>
      </c>
      <c r="F73" s="7">
        <v>0.54</v>
      </c>
      <c r="G73" s="7">
        <v>1.1200000000000001</v>
      </c>
    </row>
  </sheetData>
  <autoFilter ref="A37:I52" xr:uid="{00000000-0009-0000-0000-000003000000}">
    <sortState xmlns:xlrd2="http://schemas.microsoft.com/office/spreadsheetml/2017/richdata2" ref="A38:I52">
      <sortCondition ref="A38:A52"/>
    </sortState>
  </autoFilter>
  <conditionalFormatting sqref="G2:G18 G27:G34">
    <cfRule type="cellIs" dxfId="7" priority="2" operator="greaterThan">
      <formula>1</formula>
    </cfRule>
  </conditionalFormatting>
  <conditionalFormatting sqref="H2:H18">
    <cfRule type="cellIs" dxfId="6" priority="3" operator="greaterThan">
      <formula>1</formula>
    </cfRule>
  </conditionalFormatting>
  <conditionalFormatting sqref="F2:F18 F27:F34">
    <cfRule type="cellIs" dxfId="5" priority="4" operator="greaterThan">
      <formula>1</formula>
    </cfRule>
  </conditionalFormatting>
  <conditionalFormatting sqref="I2:I16">
    <cfRule type="cellIs" dxfId="4" priority="5" operator="greaterThan">
      <formula>1</formula>
    </cfRule>
  </conditionalFormatting>
  <conditionalFormatting sqref="E2:E16 V25:V39">
    <cfRule type="cellIs" dxfId="3" priority="6" operator="greaterThan">
      <formula>1</formula>
    </cfRule>
  </conditionalFormatting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6"/>
  <sheetViews>
    <sheetView topLeftCell="A15" zoomScaleNormal="100" workbookViewId="0">
      <selection activeCell="F22" sqref="F22"/>
    </sheetView>
  </sheetViews>
  <sheetFormatPr defaultColWidth="8.6640625" defaultRowHeight="14.4" x14ac:dyDescent="0.3"/>
  <sheetData>
    <row r="1" spans="1:21" x14ac:dyDescent="0.3">
      <c r="A1" s="3" t="s">
        <v>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3">
      <c r="F2" s="16"/>
      <c r="G2" s="16"/>
      <c r="H2" s="16"/>
    </row>
    <row r="3" spans="1:21" x14ac:dyDescent="0.3">
      <c r="B3" s="7" t="s">
        <v>55</v>
      </c>
      <c r="C3" s="7" t="s">
        <v>56</v>
      </c>
      <c r="D3" s="7" t="s">
        <v>57</v>
      </c>
      <c r="E3" s="7" t="s">
        <v>58</v>
      </c>
      <c r="F3" s="16"/>
      <c r="G3" s="16"/>
      <c r="H3" s="16"/>
    </row>
    <row r="4" spans="1:21" x14ac:dyDescent="0.3">
      <c r="B4" s="7">
        <f>1/(1+(4.5/X!A2)*POWER(X!D2,2))</f>
        <v>0.98272552783109401</v>
      </c>
      <c r="C4" s="7">
        <f>1/(0.75+256*(POWER(X!D2,2)/X!A2))</f>
        <v>0.5714285714285714</v>
      </c>
      <c r="D4" s="7">
        <f>1/(1+1/((0.22*X!A2/POWER(X!D2,2))+1+(0.25*X!A2/POWER(X!D2,3))))</f>
        <v>0.9839537869062901</v>
      </c>
      <c r="E4" s="7">
        <f>1/(1+9*POWER(X!D2,2)/X!A2)</f>
        <v>0.96603773584905661</v>
      </c>
      <c r="F4" s="16"/>
      <c r="G4" s="16"/>
      <c r="H4" s="16"/>
    </row>
    <row r="5" spans="1:21" x14ac:dyDescent="0.3">
      <c r="B5" s="7">
        <f>1/(1+(4.5/X!A3)*POWER(X!D3,2))</f>
        <v>0.78048780487804881</v>
      </c>
      <c r="C5" s="7">
        <f>1/(0.75+256*(POWER(X!D3,2)/X!A3))</f>
        <v>5.9701492537313432E-2</v>
      </c>
      <c r="D5" s="7">
        <f>1/(1+1/((0.22*X!A3/POWER(X!D3,2))+1+(0.25*X!A3/POWER(X!D3,3))))</f>
        <v>0.82086878638602778</v>
      </c>
      <c r="E5" s="7">
        <f>1/(1+9*POWER(X!D3,2)/X!A3)</f>
        <v>0.64</v>
      </c>
      <c r="F5" s="16"/>
      <c r="G5" s="16"/>
      <c r="H5" s="16"/>
    </row>
    <row r="6" spans="1:21" x14ac:dyDescent="0.3">
      <c r="B6" s="7">
        <f>1/(1+(4.5/X!A4)*POWER(X!D4,2))</f>
        <v>0.18181818181818182</v>
      </c>
      <c r="C6" s="7">
        <f>1/(0.75+256*(POWER(X!D4,2)/X!A4))</f>
        <v>3.8948393378773127E-3</v>
      </c>
      <c r="D6" s="7">
        <f>1/(1+1/((0.22*X!A4/POWER(X!D4,2))+1+(0.25*X!A4/POWER(X!D4,3))))</f>
        <v>0.54974761243118697</v>
      </c>
      <c r="E6" s="7">
        <f>1/(1+9*POWER(X!D4,2)/X!A4)</f>
        <v>0.1</v>
      </c>
      <c r="F6" s="16"/>
      <c r="G6" s="16"/>
      <c r="H6" s="16"/>
    </row>
    <row r="7" spans="1:21" x14ac:dyDescent="0.3">
      <c r="B7" s="7">
        <f>1/(1+(4.5/X!A5)*POWER(X!D5,2))</f>
        <v>0.99562469615945548</v>
      </c>
      <c r="C7" s="7">
        <f>1/(0.75+256*(POWER(X!D5,2)/X!A5))</f>
        <v>1</v>
      </c>
      <c r="D7" s="7">
        <f>1/(1+1/((0.22*X!A5/POWER(X!D5,2))+1+(0.25*X!A5/POWER(X!D5,3))))</f>
        <v>0.99588951002959558</v>
      </c>
      <c r="E7" s="7">
        <f>1/(1+9*POWER(X!D5,2)/X!A5)</f>
        <v>0.99128751210067767</v>
      </c>
      <c r="F7" s="16"/>
      <c r="G7" s="16"/>
      <c r="H7" s="16"/>
    </row>
    <row r="8" spans="1:21" x14ac:dyDescent="0.3">
      <c r="B8" s="7">
        <f>1/(1+(4.5/X!A6)*POWER(X!D6,2))</f>
        <v>0.93430656934306566</v>
      </c>
      <c r="C8" s="7">
        <f>1/(0.75+256*(POWER(X!D6,2)/X!A6))</f>
        <v>0.21052631578947367</v>
      </c>
      <c r="D8" s="7">
        <f>1/(1+1/((0.22*X!A6/POWER(X!D6,2))+1+(0.25*X!A6/POWER(X!D6,3))))</f>
        <v>0.93876301285976727</v>
      </c>
      <c r="E8" s="7">
        <f>1/(1+9*POWER(X!D6,2)/X!A6)</f>
        <v>0.87671232876712324</v>
      </c>
      <c r="F8" s="16"/>
      <c r="G8" s="16"/>
      <c r="H8" s="16"/>
    </row>
    <row r="9" spans="1:21" x14ac:dyDescent="0.3">
      <c r="B9" s="7">
        <f>1/(1+(4.5/X!A7)*POWER(X!D7,2))</f>
        <v>0.47058823529411764</v>
      </c>
      <c r="C9" s="7">
        <f>1/(0.75+256*(POWER(X!D7,2)/X!A7))</f>
        <v>1.5444015444015444E-2</v>
      </c>
      <c r="D9" s="7">
        <f>1/(1+1/((0.22*X!A7/POWER(X!D7,2))+1+(0.25*X!A7/POWER(X!D7,3))))</f>
        <v>0.65324809015549656</v>
      </c>
      <c r="E9" s="7">
        <f>1/(1+9*POWER(X!D7,2)/X!A7)</f>
        <v>0.30769230769230771</v>
      </c>
      <c r="F9" s="16"/>
      <c r="G9" s="16"/>
      <c r="H9" s="16"/>
    </row>
    <row r="10" spans="1:21" x14ac:dyDescent="0.3">
      <c r="B10" s="7">
        <f>1/(1+(4.5/X!A8)*POWER(X!D8,2))</f>
        <v>0.99890257285696871</v>
      </c>
      <c r="C10" s="7">
        <f>1/(0.75+256*(POWER(X!D8,2)/X!A8))</f>
        <v>1.2307692307692308</v>
      </c>
      <c r="D10" s="7">
        <f>1/(1+1/((0.22*X!A8/POWER(X!D8,2))+1+(0.25*X!A8/POWER(X!D8,3))))</f>
        <v>0.9989660021507154</v>
      </c>
      <c r="E10" s="7">
        <f>1/(1+9*POWER(X!D8,2)/X!A8)</f>
        <v>0.99780755176613889</v>
      </c>
      <c r="F10" s="16"/>
      <c r="G10" s="16"/>
      <c r="H10" s="16"/>
    </row>
    <row r="11" spans="1:21" x14ac:dyDescent="0.3">
      <c r="B11" s="7">
        <f>1/(1+(4.5/X!A9)*POWER(X!D9,2))</f>
        <v>0.98272552783109401</v>
      </c>
      <c r="C11" s="7">
        <f>1/(0.75+256*(POWER(X!D9,2)/X!A9))</f>
        <v>0.5714285714285714</v>
      </c>
      <c r="D11" s="7">
        <f>1/(1+1/((0.22*X!A9/POWER(X!D9,2))+1+(0.25*X!A9/POWER(X!D9,3))))</f>
        <v>0.9831422791638571</v>
      </c>
      <c r="E11" s="7">
        <f>1/(1+9*POWER(X!D9,2)/X!A9)</f>
        <v>0.96603773584905661</v>
      </c>
      <c r="F11" s="16"/>
      <c r="G11" s="16"/>
      <c r="H11" s="16"/>
    </row>
    <row r="12" spans="1:21" x14ac:dyDescent="0.3">
      <c r="B12" s="7">
        <f>1/(1+(4.5/X!A10)*POWER(X!D10,2))</f>
        <v>0.78048780487804881</v>
      </c>
      <c r="C12" s="7">
        <f>1/(0.75+256*(POWER(X!D10,2)/X!A10))</f>
        <v>5.9701492537313432E-2</v>
      </c>
      <c r="D12" s="7">
        <f>1/(1+1/((0.22*X!A10/POWER(X!D10,2))+1+(0.25*X!A10/POWER(X!D10,3))))</f>
        <v>0.81935192503104881</v>
      </c>
      <c r="E12" s="7">
        <f>1/(1+9*POWER(X!D10,2)/X!A10)</f>
        <v>0.64</v>
      </c>
      <c r="F12" s="16"/>
      <c r="G12" s="16"/>
      <c r="H12" s="16"/>
    </row>
    <row r="13" spans="1:21" x14ac:dyDescent="0.3">
      <c r="B13" s="7">
        <f>1/(1+(4.5/X!A11)*POWER(X!D11,2))</f>
        <v>0.99972541721328978</v>
      </c>
      <c r="C13" s="7">
        <f>1/(0.75+256*(POWER(X!D11,2)/X!A11))</f>
        <v>1.3061224489795917</v>
      </c>
      <c r="D13" s="7">
        <f>1/(1+1/((0.22*X!A11/POWER(X!D11,2))+1+(0.25*X!A11/POWER(X!D11,3))))</f>
        <v>0.99974109898303676</v>
      </c>
      <c r="E13" s="7">
        <f>1/(1+9*POWER(X!D11,2)/X!A11)</f>
        <v>0.9994509851765998</v>
      </c>
      <c r="F13" s="16"/>
      <c r="G13" s="16"/>
      <c r="H13" s="16"/>
    </row>
    <row r="14" spans="1:21" x14ac:dyDescent="0.3">
      <c r="B14" s="7">
        <f>1/(1+(4.5/X!A12)*POWER(X!D12,2))</f>
        <v>0.99562469615945548</v>
      </c>
      <c r="C14" s="7">
        <f>1/(0.75+256*(POWER(X!D12,2)/X!A12))</f>
        <v>1</v>
      </c>
      <c r="D14" s="7">
        <f>1/(1+1/((0.22*X!A12/POWER(X!D12,2))+1+(0.25*X!A12/POWER(X!D12,3))))</f>
        <v>0.99567623659633353</v>
      </c>
      <c r="E14" s="7">
        <f>1/(1+9*POWER(X!D12,2)/X!A12)</f>
        <v>0.99128751210067767</v>
      </c>
      <c r="F14" s="16"/>
      <c r="G14" s="16"/>
      <c r="H14" s="16"/>
    </row>
    <row r="15" spans="1:21" x14ac:dyDescent="0.3">
      <c r="B15" s="7">
        <f>1/(1+(4.5/X!A13)*POWER(X!D13,2))</f>
        <v>0.93430656934306566</v>
      </c>
      <c r="C15" s="7">
        <f>1/(0.75+256*(POWER(X!D13,2)/X!A13))</f>
        <v>0.21052631578947367</v>
      </c>
      <c r="D15" s="7">
        <f>1/(1+1/((0.22*X!A13/POWER(X!D13,2))+1+(0.25*X!A13/POWER(X!D13,3))))</f>
        <v>0.93805172680811522</v>
      </c>
      <c r="E15" s="7">
        <f>1/(1+9*POWER(X!D13,2)/X!A13)</f>
        <v>0.87671232876712324</v>
      </c>
      <c r="F15" s="16"/>
      <c r="G15" s="16"/>
      <c r="H15" s="16"/>
    </row>
    <row r="16" spans="1:21" x14ac:dyDescent="0.3">
      <c r="B16" s="7">
        <f>1/(1+(4.5/X!A14)*POWER(X!D14,2))</f>
        <v>0.99993134016371554</v>
      </c>
      <c r="C16" s="7">
        <f>1/(0.75+256*(POWER(X!D14,2)/X!A14))</f>
        <v>1.3264248704663213</v>
      </c>
      <c r="D16" s="7">
        <f>1/(1+1/((0.22*X!A14/POWER(X!D14,2))+1+(0.25*X!A14/POWER(X!D14,3))))</f>
        <v>0.99993524959984259</v>
      </c>
      <c r="E16" s="7">
        <f>1/(1+9*POWER(X!D14,2)/X!A14)</f>
        <v>0.99986268975513004</v>
      </c>
    </row>
    <row r="17" spans="1:8" x14ac:dyDescent="0.3">
      <c r="B17" s="7">
        <f>1/(1+(4.5/X!A15)*POWER(X!D15,2))</f>
        <v>0.99890257285696871</v>
      </c>
      <c r="C17" s="7">
        <f>1/(0.75+256*(POWER(X!D15,2)/X!A15))</f>
        <v>1.2307692307692308</v>
      </c>
      <c r="D17" s="7">
        <f>1/(1+1/((0.22*X!A15/POWER(X!D15,2))+1+(0.25*X!A15/POWER(X!D15,3))))</f>
        <v>0.99891200278527281</v>
      </c>
      <c r="E17" s="7">
        <f>1/(1+9*POWER(X!D15,2)/X!A15)</f>
        <v>0.99780755176613889</v>
      </c>
      <c r="H17" s="7" t="e">
        <f>AVERAGE(H1:H15)</f>
        <v>#DIV/0!</v>
      </c>
    </row>
    <row r="18" spans="1:8" x14ac:dyDescent="0.3">
      <c r="B18" s="7">
        <f>1/(1+(4.5/X!A16)*POWER(X!D16,2))</f>
        <v>0.98272552783109401</v>
      </c>
      <c r="C18" s="7">
        <f>1/(0.75+256*(POWER(X!D16,2)/X!A16))</f>
        <v>0.5714285714285714</v>
      </c>
      <c r="D18" s="7">
        <f>1/(1+1/((0.22*X!A16/POWER(X!D16,2))+1+(0.25*X!A16/POWER(X!D16,3))))</f>
        <v>0.98292641283933757</v>
      </c>
      <c r="E18" s="7">
        <f>1/(1+9*POWER(X!D16,2)/X!A16)</f>
        <v>0.96603773584905661</v>
      </c>
    </row>
    <row r="21" spans="1:8" x14ac:dyDescent="0.3">
      <c r="A21" s="7" t="s">
        <v>0</v>
      </c>
      <c r="B21" s="7" t="s">
        <v>1</v>
      </c>
      <c r="C21" s="7" t="s">
        <v>2</v>
      </c>
      <c r="D21" s="7" t="s">
        <v>3</v>
      </c>
      <c r="E21" s="7" t="s">
        <v>8</v>
      </c>
      <c r="F21" s="17" t="s">
        <v>82</v>
      </c>
    </row>
    <row r="22" spans="1:8" x14ac:dyDescent="0.3">
      <c r="A22" s="7">
        <v>65536</v>
      </c>
      <c r="B22" s="7">
        <v>5</v>
      </c>
      <c r="C22" s="7">
        <v>-1</v>
      </c>
      <c r="D22" s="7">
        <v>256</v>
      </c>
      <c r="E22" s="7">
        <v>0.01</v>
      </c>
      <c r="F22" s="7">
        <f t="shared" ref="F22:F36" si="0">1/(1+288*POWER(D22,2)/A22)</f>
        <v>3.4602076124567475E-3</v>
      </c>
    </row>
    <row r="23" spans="1:8" x14ac:dyDescent="0.3">
      <c r="A23" s="7">
        <v>262144</v>
      </c>
      <c r="B23" s="7">
        <v>6</v>
      </c>
      <c r="C23" s="7">
        <v>-1</v>
      </c>
      <c r="D23" s="7">
        <v>256</v>
      </c>
      <c r="E23" s="7">
        <v>0.02</v>
      </c>
      <c r="F23" s="7">
        <f t="shared" si="0"/>
        <v>1.3698630136986301E-2</v>
      </c>
    </row>
    <row r="24" spans="1:8" x14ac:dyDescent="0.3">
      <c r="A24" s="7">
        <v>1048576</v>
      </c>
      <c r="B24" s="7">
        <v>7</v>
      </c>
      <c r="C24" s="7">
        <v>-1</v>
      </c>
      <c r="D24" s="7">
        <v>256</v>
      </c>
      <c r="E24" s="7">
        <v>0.05</v>
      </c>
      <c r="F24" s="7">
        <f t="shared" si="0"/>
        <v>5.2631578947368418E-2</v>
      </c>
    </row>
    <row r="25" spans="1:8" x14ac:dyDescent="0.3">
      <c r="A25" s="7">
        <v>4194304</v>
      </c>
      <c r="B25" s="7">
        <v>8</v>
      </c>
      <c r="C25" s="7">
        <v>-1</v>
      </c>
      <c r="D25" s="7">
        <v>256</v>
      </c>
      <c r="E25" s="7">
        <v>0.21</v>
      </c>
      <c r="F25" s="7">
        <f t="shared" si="0"/>
        <v>0.18181818181818182</v>
      </c>
    </row>
    <row r="26" spans="1:8" x14ac:dyDescent="0.3">
      <c r="A26" s="7">
        <v>16777216</v>
      </c>
      <c r="B26" s="7">
        <v>9</v>
      </c>
      <c r="C26" s="7">
        <v>-1</v>
      </c>
      <c r="D26" s="7">
        <v>256</v>
      </c>
      <c r="E26" s="7">
        <v>0.54</v>
      </c>
      <c r="F26" s="7">
        <f t="shared" si="0"/>
        <v>0.47058823529411764</v>
      </c>
    </row>
    <row r="27" spans="1:8" x14ac:dyDescent="0.3">
      <c r="A27" s="7">
        <v>65536</v>
      </c>
      <c r="B27" s="7">
        <v>5</v>
      </c>
      <c r="C27" s="7">
        <v>0</v>
      </c>
      <c r="D27" s="7">
        <v>64</v>
      </c>
      <c r="E27" s="7">
        <v>0.08</v>
      </c>
      <c r="F27" s="7">
        <f t="shared" si="0"/>
        <v>5.2631578947368418E-2</v>
      </c>
    </row>
    <row r="28" spans="1:8" x14ac:dyDescent="0.3">
      <c r="A28" s="7">
        <v>262144</v>
      </c>
      <c r="B28" s="7">
        <v>6</v>
      </c>
      <c r="C28" s="7">
        <v>0</v>
      </c>
      <c r="D28" s="7">
        <v>64</v>
      </c>
      <c r="E28" s="7">
        <v>0.2</v>
      </c>
      <c r="F28" s="7">
        <f t="shared" si="0"/>
        <v>0.18181818181818182</v>
      </c>
    </row>
    <row r="29" spans="1:8" x14ac:dyDescent="0.3">
      <c r="A29" s="7">
        <v>1048576</v>
      </c>
      <c r="B29" s="7">
        <v>7</v>
      </c>
      <c r="C29" s="7">
        <v>0</v>
      </c>
      <c r="D29" s="7">
        <v>64</v>
      </c>
      <c r="E29" s="7">
        <v>0.49</v>
      </c>
      <c r="F29" s="7">
        <f t="shared" si="0"/>
        <v>0.47058823529411764</v>
      </c>
    </row>
    <row r="30" spans="1:8" x14ac:dyDescent="0.3">
      <c r="A30" s="7">
        <v>4194304</v>
      </c>
      <c r="B30" s="7">
        <v>8</v>
      </c>
      <c r="C30" s="7">
        <v>0</v>
      </c>
      <c r="D30" s="7">
        <v>64</v>
      </c>
      <c r="E30" s="7">
        <v>0.92</v>
      </c>
      <c r="F30" s="7">
        <f t="shared" si="0"/>
        <v>0.78048780487804881</v>
      </c>
    </row>
    <row r="31" spans="1:8" x14ac:dyDescent="0.3">
      <c r="A31" s="7">
        <v>16777216</v>
      </c>
      <c r="B31" s="7">
        <v>9</v>
      </c>
      <c r="C31" s="7">
        <v>0</v>
      </c>
      <c r="D31" s="7">
        <v>64</v>
      </c>
      <c r="E31" s="7">
        <v>1.29</v>
      </c>
      <c r="F31" s="7">
        <f t="shared" si="0"/>
        <v>0.93430656934306566</v>
      </c>
    </row>
    <row r="32" spans="1:8" x14ac:dyDescent="0.3">
      <c r="A32" s="7">
        <v>65536</v>
      </c>
      <c r="B32" s="7">
        <v>5</v>
      </c>
      <c r="C32" s="7">
        <v>1</v>
      </c>
      <c r="D32" s="7">
        <v>16</v>
      </c>
      <c r="E32" s="7">
        <v>0.32</v>
      </c>
      <c r="F32" s="7">
        <f t="shared" si="0"/>
        <v>0.47058823529411764</v>
      </c>
    </row>
    <row r="33" spans="1:6" x14ac:dyDescent="0.3">
      <c r="A33" s="7">
        <v>262144</v>
      </c>
      <c r="B33" s="7">
        <v>6</v>
      </c>
      <c r="C33" s="7">
        <v>1</v>
      </c>
      <c r="D33" s="7">
        <v>16</v>
      </c>
      <c r="E33" s="7">
        <v>0.62</v>
      </c>
      <c r="F33" s="7">
        <f t="shared" si="0"/>
        <v>0.78048780487804881</v>
      </c>
    </row>
    <row r="34" spans="1:6" x14ac:dyDescent="0.3">
      <c r="A34" s="7">
        <v>1048576</v>
      </c>
      <c r="B34" s="7">
        <v>7</v>
      </c>
      <c r="C34" s="7">
        <v>1</v>
      </c>
      <c r="D34" s="7">
        <v>16</v>
      </c>
      <c r="E34" s="7">
        <v>0.97</v>
      </c>
      <c r="F34" s="7">
        <f t="shared" si="0"/>
        <v>0.93430656934306566</v>
      </c>
    </row>
    <row r="35" spans="1:6" x14ac:dyDescent="0.3">
      <c r="A35" s="7">
        <v>4194304</v>
      </c>
      <c r="B35" s="7">
        <v>8</v>
      </c>
      <c r="C35" s="7">
        <v>1</v>
      </c>
      <c r="D35" s="7">
        <v>16</v>
      </c>
      <c r="E35" s="7">
        <v>1.28</v>
      </c>
      <c r="F35" s="7">
        <f t="shared" si="0"/>
        <v>0.98272552783109401</v>
      </c>
    </row>
    <row r="36" spans="1:6" x14ac:dyDescent="0.3">
      <c r="A36" s="7">
        <v>16777216</v>
      </c>
      <c r="B36" s="7">
        <v>9</v>
      </c>
      <c r="C36" s="7">
        <v>1</v>
      </c>
      <c r="D36" s="7">
        <v>16</v>
      </c>
      <c r="E36" s="7">
        <v>1.6</v>
      </c>
      <c r="F36" s="7">
        <f t="shared" si="0"/>
        <v>0.99562469615945548</v>
      </c>
    </row>
  </sheetData>
  <mergeCells count="1">
    <mergeCell ref="A1:U1"/>
  </mergeCells>
  <conditionalFormatting sqref="G2:G15">
    <cfRule type="cellIs" dxfId="2" priority="2" operator="greaterThan">
      <formula>1</formula>
    </cfRule>
  </conditionalFormatting>
  <conditionalFormatting sqref="H2:H15">
    <cfRule type="cellIs" dxfId="1" priority="3" operator="greaterThan">
      <formula>1</formula>
    </cfRule>
  </conditionalFormatting>
  <conditionalFormatting sqref="F2:F15">
    <cfRule type="cellIs" dxfId="0" priority="4" operator="greaterThan">
      <formula>1</formula>
    </cfRule>
  </conditionalFormatting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zoomScaleNormal="100" workbookViewId="0">
      <selection activeCell="G21" sqref="G21"/>
    </sheetView>
  </sheetViews>
  <sheetFormatPr defaultColWidth="8.6640625" defaultRowHeight="14.4" x14ac:dyDescent="0.3"/>
  <cols>
    <col min="7" max="7" width="12" style="7" customWidth="1"/>
  </cols>
  <sheetData>
    <row r="1" spans="1: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59</v>
      </c>
      <c r="G1" s="7" t="s">
        <v>60</v>
      </c>
      <c r="H1" s="13" t="s">
        <v>79</v>
      </c>
    </row>
    <row r="2" spans="1:8" x14ac:dyDescent="0.3">
      <c r="A2" s="7">
        <v>65536</v>
      </c>
      <c r="B2" s="7">
        <v>5</v>
      </c>
      <c r="C2" s="7">
        <v>-1</v>
      </c>
      <c r="D2" s="7">
        <v>256</v>
      </c>
      <c r="E2" s="7">
        <v>0.26</v>
      </c>
      <c r="F2" s="7">
        <v>1.2</v>
      </c>
      <c r="G2" s="7">
        <f t="shared" ref="G2:G16" si="0">32/SQRT(D2)</f>
        <v>2</v>
      </c>
      <c r="H2" s="7">
        <f>(32*A2+576*POWER(D2,2)+9*A2/D2)/(32*A2+288*POWER(D2,2)+9*A2/D2)</f>
        <v>1.8999011339086282</v>
      </c>
    </row>
    <row r="3" spans="1:8" x14ac:dyDescent="0.3">
      <c r="A3" s="7">
        <v>262144</v>
      </c>
      <c r="B3" s="7">
        <v>6</v>
      </c>
      <c r="C3" s="7">
        <v>-1</v>
      </c>
      <c r="D3" s="7">
        <v>256</v>
      </c>
      <c r="E3" s="7">
        <v>0.53</v>
      </c>
      <c r="F3" s="7">
        <v>1.0900000000000001</v>
      </c>
      <c r="G3" s="7">
        <f t="shared" si="0"/>
        <v>2</v>
      </c>
      <c r="H3" s="7">
        <f t="shared" ref="H3:H16" si="1">(32*A3+576*POWER(D3,2)+9*A3/D3)/(32*A3+288*POWER(D3,2)+9*A3/D3)</f>
        <v>1.6920737431006645</v>
      </c>
    </row>
    <row r="4" spans="1:8" x14ac:dyDescent="0.3">
      <c r="A4" s="7">
        <v>1048576</v>
      </c>
      <c r="B4" s="7">
        <v>7</v>
      </c>
      <c r="C4" s="7">
        <v>-1</v>
      </c>
      <c r="D4" s="7">
        <v>256</v>
      </c>
      <c r="E4" s="7">
        <v>0.86</v>
      </c>
      <c r="F4" s="7">
        <v>1.1200000000000001</v>
      </c>
      <c r="G4" s="7">
        <f t="shared" si="0"/>
        <v>2</v>
      </c>
      <c r="H4" s="7">
        <f t="shared" si="1"/>
        <v>1.3597470528534623</v>
      </c>
    </row>
    <row r="5" spans="1:8" x14ac:dyDescent="0.3">
      <c r="A5" s="7">
        <v>4194304</v>
      </c>
      <c r="B5" s="7">
        <v>8</v>
      </c>
      <c r="C5" s="7">
        <v>-1</v>
      </c>
      <c r="D5" s="7">
        <v>256</v>
      </c>
      <c r="E5" s="7">
        <v>1.04</v>
      </c>
      <c r="F5" s="7">
        <v>1.1299999999999999</v>
      </c>
      <c r="G5" s="7">
        <f t="shared" si="0"/>
        <v>2</v>
      </c>
      <c r="H5" s="7">
        <f t="shared" si="1"/>
        <v>1.1231690366727254</v>
      </c>
    </row>
    <row r="6" spans="1:8" x14ac:dyDescent="0.3">
      <c r="A6" s="7">
        <v>16777216</v>
      </c>
      <c r="B6" s="7">
        <v>9</v>
      </c>
      <c r="C6" s="7">
        <v>-1</v>
      </c>
      <c r="D6" s="7">
        <v>256</v>
      </c>
      <c r="E6" s="7">
        <v>1.0900000000000001</v>
      </c>
      <c r="F6" s="7">
        <v>1.1200000000000001</v>
      </c>
      <c r="G6" s="7">
        <f t="shared" si="0"/>
        <v>2</v>
      </c>
      <c r="H6" s="7">
        <f t="shared" si="1"/>
        <v>1.0339262575097186</v>
      </c>
    </row>
    <row r="7" spans="1:8" x14ac:dyDescent="0.3">
      <c r="A7" s="7">
        <v>65536</v>
      </c>
      <c r="B7" s="7">
        <v>5</v>
      </c>
      <c r="C7" s="7">
        <v>0</v>
      </c>
      <c r="D7" s="7">
        <v>64</v>
      </c>
      <c r="E7" s="7">
        <v>0.68</v>
      </c>
      <c r="F7" s="7">
        <v>1.3</v>
      </c>
      <c r="G7" s="7">
        <f t="shared" si="0"/>
        <v>4</v>
      </c>
      <c r="H7" s="7">
        <f t="shared" si="1"/>
        <v>1.358990339669679</v>
      </c>
    </row>
    <row r="8" spans="1:8" x14ac:dyDescent="0.3">
      <c r="A8" s="7">
        <v>262144</v>
      </c>
      <c r="B8" s="7">
        <v>6</v>
      </c>
      <c r="C8" s="7">
        <v>0</v>
      </c>
      <c r="D8" s="7">
        <v>64</v>
      </c>
      <c r="E8" s="7">
        <v>0.79</v>
      </c>
      <c r="F8" s="7">
        <v>0.98</v>
      </c>
      <c r="G8" s="7">
        <f t="shared" si="0"/>
        <v>4</v>
      </c>
      <c r="H8" s="7">
        <f t="shared" si="1"/>
        <v>1.1228144989339019</v>
      </c>
    </row>
    <row r="9" spans="1:8" x14ac:dyDescent="0.3">
      <c r="A9" s="7">
        <v>1048576</v>
      </c>
      <c r="B9" s="7">
        <v>7</v>
      </c>
      <c r="C9" s="7">
        <v>0</v>
      </c>
      <c r="D9" s="7">
        <v>64</v>
      </c>
      <c r="E9" s="7">
        <v>1</v>
      </c>
      <c r="F9" s="7">
        <v>1.0900000000000001</v>
      </c>
      <c r="G9" s="7">
        <f t="shared" si="0"/>
        <v>4</v>
      </c>
      <c r="H9" s="7">
        <f t="shared" si="1"/>
        <v>1.0338186942226397</v>
      </c>
    </row>
    <row r="10" spans="1:8" x14ac:dyDescent="0.3">
      <c r="A10" s="7">
        <v>4194304</v>
      </c>
      <c r="B10" s="7">
        <v>8</v>
      </c>
      <c r="C10" s="7">
        <v>0</v>
      </c>
      <c r="D10" s="7">
        <v>64</v>
      </c>
      <c r="E10" s="7">
        <v>1.04</v>
      </c>
      <c r="F10" s="7">
        <v>1.1000000000000001</v>
      </c>
      <c r="G10" s="7">
        <f t="shared" si="0"/>
        <v>4</v>
      </c>
      <c r="H10" s="7">
        <f t="shared" si="1"/>
        <v>1.0086746987951807</v>
      </c>
    </row>
    <row r="11" spans="1:8" x14ac:dyDescent="0.3">
      <c r="A11" s="7">
        <v>16777216</v>
      </c>
      <c r="B11" s="7">
        <v>9</v>
      </c>
      <c r="C11" s="7">
        <v>0</v>
      </c>
      <c r="D11" s="7">
        <v>64</v>
      </c>
      <c r="E11" s="7">
        <v>1.06</v>
      </c>
      <c r="F11" s="7">
        <v>1.1000000000000001</v>
      </c>
      <c r="G11" s="7">
        <f t="shared" si="0"/>
        <v>4</v>
      </c>
      <c r="H11" s="7">
        <f t="shared" si="1"/>
        <v>1.0021828765462042</v>
      </c>
    </row>
    <row r="12" spans="1:8" x14ac:dyDescent="0.3">
      <c r="A12" s="7">
        <v>65536</v>
      </c>
      <c r="B12" s="7">
        <v>5</v>
      </c>
      <c r="C12" s="7">
        <v>1</v>
      </c>
      <c r="D12" s="7">
        <v>16</v>
      </c>
      <c r="E12" s="7">
        <v>0.95</v>
      </c>
      <c r="F12" s="7">
        <v>1.31</v>
      </c>
      <c r="G12" s="7">
        <f t="shared" si="0"/>
        <v>8</v>
      </c>
      <c r="H12" s="7">
        <f t="shared" si="1"/>
        <v>1.033395176252319</v>
      </c>
    </row>
    <row r="13" spans="1:8" x14ac:dyDescent="0.3">
      <c r="A13" s="7">
        <v>262144</v>
      </c>
      <c r="B13" s="7">
        <v>6</v>
      </c>
      <c r="C13" s="7">
        <v>1</v>
      </c>
      <c r="D13" s="7">
        <v>16</v>
      </c>
      <c r="E13" s="7">
        <v>0.87</v>
      </c>
      <c r="F13" s="7">
        <v>0.96</v>
      </c>
      <c r="G13" s="7">
        <f t="shared" si="0"/>
        <v>8</v>
      </c>
      <c r="H13" s="7">
        <f t="shared" si="1"/>
        <v>1.0085632730732637</v>
      </c>
    </row>
    <row r="14" spans="1:8" x14ac:dyDescent="0.3">
      <c r="A14" s="7">
        <v>1048576</v>
      </c>
      <c r="B14" s="7">
        <v>7</v>
      </c>
      <c r="C14" s="7">
        <v>1</v>
      </c>
      <c r="D14" s="7">
        <v>16</v>
      </c>
      <c r="E14" s="7">
        <v>1.05</v>
      </c>
      <c r="F14" s="7">
        <v>1.1299999999999999</v>
      </c>
      <c r="G14" s="7">
        <f t="shared" si="0"/>
        <v>8</v>
      </c>
      <c r="H14" s="7">
        <f t="shared" si="1"/>
        <v>1.002154656451999</v>
      </c>
    </row>
    <row r="15" spans="1:8" x14ac:dyDescent="0.3">
      <c r="A15" s="7">
        <v>4194304</v>
      </c>
      <c r="B15" s="7">
        <v>8</v>
      </c>
      <c r="C15" s="7">
        <v>1</v>
      </c>
      <c r="D15" s="7">
        <v>16</v>
      </c>
      <c r="E15" s="7">
        <v>1.02</v>
      </c>
      <c r="F15" s="7">
        <v>1.0900000000000001</v>
      </c>
      <c r="G15" s="7">
        <f t="shared" si="0"/>
        <v>8</v>
      </c>
      <c r="H15" s="7">
        <f t="shared" si="1"/>
        <v>1.0005395359990408</v>
      </c>
    </row>
    <row r="16" spans="1:8" x14ac:dyDescent="0.3">
      <c r="A16" s="7">
        <v>16777216</v>
      </c>
      <c r="B16" s="7">
        <v>9</v>
      </c>
      <c r="C16" s="7">
        <v>1</v>
      </c>
      <c r="D16" s="7">
        <v>16</v>
      </c>
      <c r="E16" s="7">
        <v>1.04</v>
      </c>
      <c r="F16" s="7">
        <v>1.1000000000000001</v>
      </c>
      <c r="G16" s="7">
        <f t="shared" si="0"/>
        <v>8</v>
      </c>
      <c r="H16" s="7">
        <f t="shared" si="1"/>
        <v>1.0001349386029357</v>
      </c>
    </row>
  </sheetData>
  <autoFilter ref="A1:F16" xr:uid="{00000000-0009-0000-0000-000005000000}">
    <sortState xmlns:xlrd2="http://schemas.microsoft.com/office/spreadsheetml/2017/richdata2" ref="A2:F16">
      <sortCondition ref="A2:A16"/>
    </sortState>
  </autoFilter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9"/>
  <sheetViews>
    <sheetView zoomScaleNormal="100" workbookViewId="0">
      <selection activeCell="T24" sqref="T24"/>
    </sheetView>
  </sheetViews>
  <sheetFormatPr defaultColWidth="8.6640625" defaultRowHeight="14.4" x14ac:dyDescent="0.3"/>
  <sheetData>
    <row r="1" spans="1:2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12</v>
      </c>
      <c r="K1" s="7" t="s">
        <v>13</v>
      </c>
      <c r="L1" s="18" t="s">
        <v>61</v>
      </c>
      <c r="M1" s="18" t="s">
        <v>62</v>
      </c>
      <c r="N1" s="18" t="s">
        <v>18</v>
      </c>
      <c r="O1" s="18" t="s">
        <v>19</v>
      </c>
      <c r="P1" s="18" t="s">
        <v>63</v>
      </c>
      <c r="Q1" s="13" t="s">
        <v>80</v>
      </c>
      <c r="R1" s="13" t="s">
        <v>81</v>
      </c>
      <c r="T1" t="s">
        <v>64</v>
      </c>
    </row>
    <row r="2" spans="1:20" x14ac:dyDescent="0.3">
      <c r="A2" s="7">
        <v>65536</v>
      </c>
      <c r="B2" s="7">
        <v>5</v>
      </c>
      <c r="C2" s="7">
        <v>-1</v>
      </c>
      <c r="D2" s="7">
        <v>256</v>
      </c>
      <c r="E2" s="7">
        <v>0.26</v>
      </c>
      <c r="F2" s="7">
        <v>0.23</v>
      </c>
      <c r="G2" s="7">
        <v>1</v>
      </c>
      <c r="H2" s="7">
        <v>0.01</v>
      </c>
      <c r="I2" s="7">
        <v>1.2</v>
      </c>
      <c r="J2" s="7">
        <v>0.03</v>
      </c>
      <c r="K2" s="7">
        <v>0.96</v>
      </c>
      <c r="L2" s="7">
        <f t="shared" ref="L2:L16" si="0">1/(1+288*POWER(D2,2)/A2)</f>
        <v>3.4602076124567475E-3</v>
      </c>
      <c r="M2" s="7">
        <f>'X computation'!H2</f>
        <v>1.8999011339086282</v>
      </c>
      <c r="N2" s="7">
        <f t="shared" ref="N2:N16" si="1">3.72/D2</f>
        <v>1.4531250000000001E-2</v>
      </c>
      <c r="O2" s="7">
        <f t="shared" ref="O2:O16" si="2">1-N2</f>
        <v>0.98546875</v>
      </c>
      <c r="P2" s="7">
        <f t="shared" ref="P2:P16" si="3">1/(N2/L2+O2/M2)</f>
        <v>0.21194406526832041</v>
      </c>
      <c r="Q2" s="7">
        <f>'X computation'!H2</f>
        <v>1.8999011339086282</v>
      </c>
      <c r="R2" s="7">
        <f t="shared" ref="R2:R16" si="4">1/(N2/L2+O2/Q2)</f>
        <v>0.21194406526832041</v>
      </c>
      <c r="T2" s="7">
        <f t="shared" ref="T2:T16" si="5">(ABS(P2-F2)/F2)*100</f>
        <v>7.850406405078088</v>
      </c>
    </row>
    <row r="3" spans="1:20" x14ac:dyDescent="0.3">
      <c r="A3" s="7">
        <v>262144</v>
      </c>
      <c r="B3" s="7">
        <v>6</v>
      </c>
      <c r="C3" s="7">
        <v>-1</v>
      </c>
      <c r="D3" s="7">
        <v>256</v>
      </c>
      <c r="E3" s="7">
        <v>0.53</v>
      </c>
      <c r="F3" s="7">
        <v>0.5</v>
      </c>
      <c r="G3" s="7">
        <v>0.93</v>
      </c>
      <c r="H3" s="7">
        <v>0.02</v>
      </c>
      <c r="I3" s="7">
        <v>1.0900000000000001</v>
      </c>
      <c r="J3" s="7">
        <v>0.02</v>
      </c>
      <c r="K3" s="7">
        <v>0.98</v>
      </c>
      <c r="L3" s="7">
        <f t="shared" si="0"/>
        <v>1.3698630136986301E-2</v>
      </c>
      <c r="M3" s="7">
        <f>'X computation'!H3</f>
        <v>1.6920737431006645</v>
      </c>
      <c r="N3" s="7">
        <f t="shared" si="1"/>
        <v>1.4531250000000001E-2</v>
      </c>
      <c r="O3" s="7">
        <f t="shared" si="2"/>
        <v>0.98546875</v>
      </c>
      <c r="P3" s="7">
        <f t="shared" si="3"/>
        <v>0.60857449594469637</v>
      </c>
      <c r="Q3" s="7">
        <f>'X computation'!H3</f>
        <v>1.6920737431006645</v>
      </c>
      <c r="R3" s="7">
        <f t="shared" si="4"/>
        <v>0.60857449594469637</v>
      </c>
      <c r="T3" s="7">
        <f t="shared" si="5"/>
        <v>21.714899188939274</v>
      </c>
    </row>
    <row r="4" spans="1:20" x14ac:dyDescent="0.3">
      <c r="A4" s="7">
        <v>1048576</v>
      </c>
      <c r="B4" s="7">
        <v>7</v>
      </c>
      <c r="C4" s="7">
        <v>-1</v>
      </c>
      <c r="D4" s="7">
        <v>256</v>
      </c>
      <c r="E4" s="7">
        <v>0.86</v>
      </c>
      <c r="F4" s="7">
        <v>0.85</v>
      </c>
      <c r="G4" s="7">
        <v>0.98</v>
      </c>
      <c r="H4" s="7">
        <v>0.05</v>
      </c>
      <c r="I4" s="7">
        <v>1.1200000000000001</v>
      </c>
      <c r="J4" s="7">
        <v>0.02</v>
      </c>
      <c r="K4" s="7">
        <v>0.98</v>
      </c>
      <c r="L4" s="7">
        <f t="shared" si="0"/>
        <v>5.2631578947368418E-2</v>
      </c>
      <c r="M4" s="7">
        <f>'X computation'!H4</f>
        <v>1.3597470528534623</v>
      </c>
      <c r="N4" s="7">
        <f t="shared" si="1"/>
        <v>1.4531250000000001E-2</v>
      </c>
      <c r="O4" s="7">
        <f t="shared" si="2"/>
        <v>0.98546875</v>
      </c>
      <c r="P4" s="7">
        <f t="shared" si="3"/>
        <v>0.99916278095694078</v>
      </c>
      <c r="Q4" s="7">
        <f>'X computation'!H4</f>
        <v>1.3597470528534623</v>
      </c>
      <c r="R4" s="7">
        <f t="shared" si="4"/>
        <v>0.99916278095694078</v>
      </c>
      <c r="T4" s="7">
        <f t="shared" si="5"/>
        <v>17.548562465522448</v>
      </c>
    </row>
    <row r="5" spans="1:20" x14ac:dyDescent="0.3">
      <c r="A5" s="7">
        <v>4194304</v>
      </c>
      <c r="B5" s="7">
        <v>8</v>
      </c>
      <c r="C5" s="7">
        <v>-1</v>
      </c>
      <c r="D5" s="7">
        <v>256</v>
      </c>
      <c r="E5" s="7">
        <v>1.04</v>
      </c>
      <c r="F5" s="7">
        <v>1.05</v>
      </c>
      <c r="G5" s="7">
        <v>1.01</v>
      </c>
      <c r="H5" s="7">
        <v>0.21</v>
      </c>
      <c r="I5" s="7">
        <v>1.1299999999999999</v>
      </c>
      <c r="J5" s="7">
        <v>0.02</v>
      </c>
      <c r="K5" s="7">
        <v>0.98</v>
      </c>
      <c r="L5" s="7">
        <f t="shared" si="0"/>
        <v>0.18181818181818182</v>
      </c>
      <c r="M5" s="7">
        <f>'X computation'!H5</f>
        <v>1.1231690366727254</v>
      </c>
      <c r="N5" s="7">
        <f t="shared" si="1"/>
        <v>1.4531250000000001E-2</v>
      </c>
      <c r="O5" s="7">
        <f t="shared" si="2"/>
        <v>0.98546875</v>
      </c>
      <c r="P5" s="7">
        <f t="shared" si="3"/>
        <v>1.0445805172635878</v>
      </c>
      <c r="Q5" s="7">
        <f>'X computation'!H5</f>
        <v>1.1231690366727254</v>
      </c>
      <c r="R5" s="7">
        <f t="shared" si="4"/>
        <v>1.0445805172635878</v>
      </c>
      <c r="T5" s="7">
        <f t="shared" si="5"/>
        <v>0.51614121299164184</v>
      </c>
    </row>
    <row r="6" spans="1:20" x14ac:dyDescent="0.3">
      <c r="A6" s="7">
        <v>16777216</v>
      </c>
      <c r="B6" s="7">
        <v>9</v>
      </c>
      <c r="C6" s="7">
        <v>-1</v>
      </c>
      <c r="D6" s="7">
        <v>256</v>
      </c>
      <c r="E6" s="7">
        <v>1.0900000000000001</v>
      </c>
      <c r="F6" s="7">
        <v>1.1100000000000001</v>
      </c>
      <c r="G6" s="7">
        <v>1</v>
      </c>
      <c r="H6" s="7">
        <v>0.54</v>
      </c>
      <c r="I6" s="7">
        <v>1.1200000000000001</v>
      </c>
      <c r="J6" s="7">
        <v>0.02</v>
      </c>
      <c r="K6" s="7">
        <v>0.98</v>
      </c>
      <c r="L6" s="7">
        <f t="shared" si="0"/>
        <v>0.47058823529411764</v>
      </c>
      <c r="M6" s="7">
        <f>'X computation'!H6</f>
        <v>1.0339262575097186</v>
      </c>
      <c r="N6" s="7">
        <f t="shared" si="1"/>
        <v>1.4531250000000001E-2</v>
      </c>
      <c r="O6" s="7">
        <f t="shared" si="2"/>
        <v>0.98546875</v>
      </c>
      <c r="P6" s="7">
        <f t="shared" si="3"/>
        <v>1.0162483512087241</v>
      </c>
      <c r="Q6" s="7">
        <f>'X computation'!H6</f>
        <v>1.0339262575097186</v>
      </c>
      <c r="R6" s="7">
        <f t="shared" si="4"/>
        <v>1.0162483512087241</v>
      </c>
      <c r="T6" s="7">
        <f t="shared" si="5"/>
        <v>8.4460944857005344</v>
      </c>
    </row>
    <row r="7" spans="1:20" x14ac:dyDescent="0.3">
      <c r="A7" s="7">
        <v>65536</v>
      </c>
      <c r="B7" s="7">
        <v>5</v>
      </c>
      <c r="C7" s="7">
        <v>0</v>
      </c>
      <c r="D7" s="7">
        <v>64</v>
      </c>
      <c r="E7" s="7">
        <v>0.68</v>
      </c>
      <c r="F7" s="7">
        <v>0.57999999999999996</v>
      </c>
      <c r="G7" s="7">
        <v>1.05</v>
      </c>
      <c r="H7" s="7">
        <v>0.08</v>
      </c>
      <c r="I7" s="7">
        <v>1.3</v>
      </c>
      <c r="J7" s="7">
        <v>0.08</v>
      </c>
      <c r="K7" s="7">
        <v>0.9</v>
      </c>
      <c r="L7" s="7">
        <f t="shared" si="0"/>
        <v>5.2631578947368418E-2</v>
      </c>
      <c r="M7" s="7">
        <f>'X computation'!H7</f>
        <v>1.358990339669679</v>
      </c>
      <c r="N7" s="7">
        <f t="shared" si="1"/>
        <v>5.8125000000000003E-2</v>
      </c>
      <c r="O7" s="7">
        <f t="shared" si="2"/>
        <v>0.94187500000000002</v>
      </c>
      <c r="P7" s="7">
        <f t="shared" si="3"/>
        <v>0.5563453557489525</v>
      </c>
      <c r="Q7" s="7">
        <f>'X computation'!H7</f>
        <v>1.358990339669679</v>
      </c>
      <c r="R7" s="7">
        <f t="shared" si="4"/>
        <v>0.5563453557489525</v>
      </c>
      <c r="T7" s="7">
        <f t="shared" si="5"/>
        <v>4.0783869398357693</v>
      </c>
    </row>
    <row r="8" spans="1:20" x14ac:dyDescent="0.3">
      <c r="A8" s="7">
        <v>262144</v>
      </c>
      <c r="B8" s="7">
        <v>6</v>
      </c>
      <c r="C8" s="7">
        <v>0</v>
      </c>
      <c r="D8" s="7">
        <v>64</v>
      </c>
      <c r="E8" s="7">
        <v>0.79</v>
      </c>
      <c r="F8" s="7">
        <v>0.76</v>
      </c>
      <c r="G8" s="7">
        <v>0.86</v>
      </c>
      <c r="H8" s="7">
        <v>0.2</v>
      </c>
      <c r="I8" s="7">
        <v>0.98</v>
      </c>
      <c r="J8" s="7">
        <v>7.0000000000000007E-2</v>
      </c>
      <c r="K8" s="7">
        <v>0.92</v>
      </c>
      <c r="L8" s="7">
        <f t="shared" si="0"/>
        <v>0.18181818181818182</v>
      </c>
      <c r="M8" s="7">
        <f>'X computation'!H8</f>
        <v>1.1228144989339019</v>
      </c>
      <c r="N8" s="7">
        <f t="shared" si="1"/>
        <v>5.8125000000000003E-2</v>
      </c>
      <c r="O8" s="7">
        <f t="shared" si="2"/>
        <v>0.94187500000000002</v>
      </c>
      <c r="P8" s="7">
        <f t="shared" si="3"/>
        <v>0.86315584800482803</v>
      </c>
      <c r="Q8" s="7">
        <f>'X computation'!H8</f>
        <v>1.1228144989339019</v>
      </c>
      <c r="R8" s="7">
        <f t="shared" si="4"/>
        <v>0.86315584800482803</v>
      </c>
      <c r="T8" s="7">
        <f t="shared" si="5"/>
        <v>13.573137895372108</v>
      </c>
    </row>
    <row r="9" spans="1:20" x14ac:dyDescent="0.3">
      <c r="A9" s="7">
        <v>1048576</v>
      </c>
      <c r="B9" s="7">
        <v>7</v>
      </c>
      <c r="C9" s="7">
        <v>0</v>
      </c>
      <c r="D9" s="7">
        <v>64</v>
      </c>
      <c r="E9" s="7">
        <v>1</v>
      </c>
      <c r="F9" s="7">
        <v>1.02</v>
      </c>
      <c r="G9" s="7">
        <v>0.99</v>
      </c>
      <c r="H9" s="7">
        <v>0.49</v>
      </c>
      <c r="I9" s="7">
        <v>1.0900000000000001</v>
      </c>
      <c r="J9" s="7">
        <v>0.06</v>
      </c>
      <c r="K9" s="7">
        <v>0.94</v>
      </c>
      <c r="L9" s="7">
        <f t="shared" si="0"/>
        <v>0.47058823529411764</v>
      </c>
      <c r="M9" s="7">
        <f>'X computation'!H9</f>
        <v>1.0338186942226397</v>
      </c>
      <c r="N9" s="7">
        <f t="shared" si="1"/>
        <v>5.8125000000000003E-2</v>
      </c>
      <c r="O9" s="7">
        <f t="shared" si="2"/>
        <v>0.94187500000000002</v>
      </c>
      <c r="P9" s="7">
        <f t="shared" si="3"/>
        <v>0.96657615422236343</v>
      </c>
      <c r="Q9" s="7">
        <f>'X computation'!H9</f>
        <v>1.0338186942226397</v>
      </c>
      <c r="R9" s="7">
        <f t="shared" si="4"/>
        <v>0.96657615422236343</v>
      </c>
      <c r="T9" s="7">
        <f t="shared" si="5"/>
        <v>5.2376319389839798</v>
      </c>
    </row>
    <row r="10" spans="1:20" x14ac:dyDescent="0.3">
      <c r="A10" s="7">
        <v>4194304</v>
      </c>
      <c r="B10" s="7">
        <v>8</v>
      </c>
      <c r="C10" s="7">
        <v>0</v>
      </c>
      <c r="D10" s="7">
        <v>64</v>
      </c>
      <c r="E10" s="7">
        <v>1.04</v>
      </c>
      <c r="F10" s="7">
        <v>1.08</v>
      </c>
      <c r="G10" s="7">
        <v>0.99</v>
      </c>
      <c r="H10" s="7">
        <v>0.92</v>
      </c>
      <c r="I10" s="7">
        <v>1.1000000000000001</v>
      </c>
      <c r="J10" s="7">
        <v>0.06</v>
      </c>
      <c r="K10" s="7">
        <v>0.94</v>
      </c>
      <c r="L10" s="7">
        <f t="shared" si="0"/>
        <v>0.78048780487804881</v>
      </c>
      <c r="M10" s="7">
        <f>'X computation'!H10</f>
        <v>1.0086746987951807</v>
      </c>
      <c r="N10" s="7">
        <f t="shared" si="1"/>
        <v>5.8125000000000003E-2</v>
      </c>
      <c r="O10" s="7">
        <f t="shared" si="2"/>
        <v>0.94187500000000002</v>
      </c>
      <c r="P10" s="7">
        <f t="shared" si="3"/>
        <v>0.99182002263511249</v>
      </c>
      <c r="Q10" s="7">
        <f>'X computation'!H10</f>
        <v>1.0086746987951807</v>
      </c>
      <c r="R10" s="7">
        <f t="shared" si="4"/>
        <v>0.99182002263511249</v>
      </c>
      <c r="T10" s="7">
        <f t="shared" si="5"/>
        <v>8.1648127189710724</v>
      </c>
    </row>
    <row r="11" spans="1:20" x14ac:dyDescent="0.3">
      <c r="A11" s="7">
        <v>16777216</v>
      </c>
      <c r="B11" s="7">
        <v>9</v>
      </c>
      <c r="C11" s="7">
        <v>0</v>
      </c>
      <c r="D11" s="7">
        <v>64</v>
      </c>
      <c r="E11" s="7">
        <v>1.06</v>
      </c>
      <c r="F11" s="7">
        <v>1.1100000000000001</v>
      </c>
      <c r="G11" s="7">
        <v>1</v>
      </c>
      <c r="H11" s="7">
        <v>1.29</v>
      </c>
      <c r="I11" s="7">
        <v>1.1000000000000001</v>
      </c>
      <c r="J11" s="7">
        <v>0.06</v>
      </c>
      <c r="K11" s="7">
        <v>0.94</v>
      </c>
      <c r="L11" s="7">
        <f t="shared" si="0"/>
        <v>0.93430656934306566</v>
      </c>
      <c r="M11" s="7">
        <f>'X computation'!H11</f>
        <v>1.0021828765462042</v>
      </c>
      <c r="N11" s="7">
        <f t="shared" si="1"/>
        <v>5.8125000000000003E-2</v>
      </c>
      <c r="O11" s="7">
        <f t="shared" si="2"/>
        <v>0.94187500000000002</v>
      </c>
      <c r="P11" s="7">
        <f t="shared" si="3"/>
        <v>0.9979687389919113</v>
      </c>
      <c r="Q11" s="7">
        <f>'X computation'!H11</f>
        <v>1.0021828765462042</v>
      </c>
      <c r="R11" s="7">
        <f t="shared" si="4"/>
        <v>0.9979687389919113</v>
      </c>
      <c r="T11" s="7">
        <f t="shared" si="5"/>
        <v>10.092906397125116</v>
      </c>
    </row>
    <row r="12" spans="1:20" x14ac:dyDescent="0.3">
      <c r="A12" s="7">
        <v>65536</v>
      </c>
      <c r="B12" s="7">
        <v>5</v>
      </c>
      <c r="C12" s="7">
        <v>1</v>
      </c>
      <c r="D12" s="7">
        <v>16</v>
      </c>
      <c r="E12" s="7">
        <v>0.95</v>
      </c>
      <c r="F12" s="7">
        <v>0.69</v>
      </c>
      <c r="G12" s="7">
        <v>1.1299999999999999</v>
      </c>
      <c r="H12" s="7">
        <v>0.32</v>
      </c>
      <c r="I12" s="7">
        <v>1.31</v>
      </c>
      <c r="J12" s="7">
        <v>0.28000000000000003</v>
      </c>
      <c r="K12" s="7">
        <v>0.65</v>
      </c>
      <c r="L12" s="7">
        <f t="shared" si="0"/>
        <v>0.47058823529411764</v>
      </c>
      <c r="M12" s="7">
        <f>'X computation'!H12</f>
        <v>1.033395176252319</v>
      </c>
      <c r="N12" s="7">
        <f t="shared" si="1"/>
        <v>0.23250000000000001</v>
      </c>
      <c r="O12" s="7">
        <f t="shared" si="2"/>
        <v>0.76749999999999996</v>
      </c>
      <c r="P12" s="7">
        <f t="shared" si="3"/>
        <v>0.80856432200856376</v>
      </c>
      <c r="Q12" s="7">
        <f>'X computation'!H12</f>
        <v>1.033395176252319</v>
      </c>
      <c r="R12" s="7">
        <f t="shared" si="4"/>
        <v>0.80856432200856376</v>
      </c>
      <c r="T12" s="7">
        <f t="shared" si="5"/>
        <v>17.183235073704903</v>
      </c>
    </row>
    <row r="13" spans="1:20" x14ac:dyDescent="0.3">
      <c r="A13" s="7">
        <v>262144</v>
      </c>
      <c r="B13" s="7">
        <v>6</v>
      </c>
      <c r="C13" s="7">
        <v>1</v>
      </c>
      <c r="D13" s="7">
        <v>16</v>
      </c>
      <c r="E13" s="7">
        <v>0.87</v>
      </c>
      <c r="F13" s="7">
        <v>0.85</v>
      </c>
      <c r="G13" s="7">
        <v>0.89</v>
      </c>
      <c r="H13" s="7">
        <v>0.62</v>
      </c>
      <c r="I13" s="7">
        <v>0.96</v>
      </c>
      <c r="J13" s="7">
        <v>0.25</v>
      </c>
      <c r="K13" s="7">
        <v>0.73</v>
      </c>
      <c r="L13" s="7">
        <f t="shared" si="0"/>
        <v>0.78048780487804881</v>
      </c>
      <c r="M13" s="7">
        <f>'X computation'!H13</f>
        <v>1.0085632730732637</v>
      </c>
      <c r="N13" s="7">
        <f t="shared" si="1"/>
        <v>0.23250000000000001</v>
      </c>
      <c r="O13" s="7">
        <f t="shared" si="2"/>
        <v>0.76749999999999996</v>
      </c>
      <c r="P13" s="7">
        <f t="shared" si="3"/>
        <v>0.94439932499949186</v>
      </c>
      <c r="Q13" s="7">
        <f>'X computation'!H13</f>
        <v>1.0085632730732637</v>
      </c>
      <c r="R13" s="7">
        <f t="shared" si="4"/>
        <v>0.94439932499949186</v>
      </c>
      <c r="T13" s="7">
        <f t="shared" si="5"/>
        <v>11.105802941116693</v>
      </c>
    </row>
    <row r="14" spans="1:20" x14ac:dyDescent="0.3">
      <c r="A14" s="7">
        <v>1048576</v>
      </c>
      <c r="B14" s="7">
        <v>7</v>
      </c>
      <c r="C14" s="7">
        <v>1</v>
      </c>
      <c r="D14" s="7">
        <v>16</v>
      </c>
      <c r="E14" s="7">
        <v>1.05</v>
      </c>
      <c r="F14" s="7">
        <v>1.1000000000000001</v>
      </c>
      <c r="G14" s="7">
        <v>1.04</v>
      </c>
      <c r="H14" s="7">
        <v>0.97</v>
      </c>
      <c r="I14" s="7">
        <v>1.1299999999999999</v>
      </c>
      <c r="J14" s="7">
        <v>0.2</v>
      </c>
      <c r="K14" s="7">
        <v>0.8</v>
      </c>
      <c r="L14" s="7">
        <f t="shared" si="0"/>
        <v>0.93430656934306566</v>
      </c>
      <c r="M14" s="7">
        <f>'X computation'!H14</f>
        <v>1.002154656451999</v>
      </c>
      <c r="N14" s="7">
        <f t="shared" si="1"/>
        <v>0.23250000000000001</v>
      </c>
      <c r="O14" s="7">
        <f t="shared" si="2"/>
        <v>0.76749999999999996</v>
      </c>
      <c r="P14" s="7">
        <f t="shared" si="3"/>
        <v>0.98551537504723907</v>
      </c>
      <c r="Q14" s="7">
        <f>'X computation'!H14</f>
        <v>1.002154656451999</v>
      </c>
      <c r="R14" s="7">
        <f t="shared" si="4"/>
        <v>0.98551537504723907</v>
      </c>
      <c r="T14" s="7">
        <f t="shared" si="5"/>
        <v>10.407693177523727</v>
      </c>
    </row>
    <row r="15" spans="1:20" x14ac:dyDescent="0.3">
      <c r="A15" s="7">
        <v>4194304</v>
      </c>
      <c r="B15" s="7">
        <v>8</v>
      </c>
      <c r="C15" s="7">
        <v>1</v>
      </c>
      <c r="D15" s="7">
        <v>16</v>
      </c>
      <c r="E15" s="7">
        <v>1.02</v>
      </c>
      <c r="F15" s="7">
        <v>1.1200000000000001</v>
      </c>
      <c r="G15" s="7">
        <v>1</v>
      </c>
      <c r="H15" s="7">
        <v>1.28</v>
      </c>
      <c r="I15" s="7">
        <v>1.0900000000000001</v>
      </c>
      <c r="J15" s="7">
        <v>0.2</v>
      </c>
      <c r="K15" s="7">
        <v>0.8</v>
      </c>
      <c r="L15" s="7">
        <f t="shared" si="0"/>
        <v>0.98272552783109401</v>
      </c>
      <c r="M15" s="7">
        <f>'X computation'!H15</f>
        <v>1.0005395359990408</v>
      </c>
      <c r="N15" s="7">
        <f t="shared" si="1"/>
        <v>0.23250000000000001</v>
      </c>
      <c r="O15" s="7">
        <f t="shared" si="2"/>
        <v>0.76749999999999996</v>
      </c>
      <c r="P15" s="7">
        <f t="shared" si="3"/>
        <v>0.99634039839450761</v>
      </c>
      <c r="Q15" s="7">
        <f>'X computation'!H15</f>
        <v>1.0005395359990408</v>
      </c>
      <c r="R15" s="7">
        <f t="shared" si="4"/>
        <v>0.99634039839450761</v>
      </c>
      <c r="T15" s="7">
        <f t="shared" si="5"/>
        <v>11.041035857633258</v>
      </c>
    </row>
    <row r="16" spans="1:20" x14ac:dyDescent="0.3">
      <c r="A16" s="7">
        <v>16777216</v>
      </c>
      <c r="B16" s="7">
        <v>9</v>
      </c>
      <c r="C16" s="7">
        <v>1</v>
      </c>
      <c r="D16" s="7">
        <v>16</v>
      </c>
      <c r="E16" s="7">
        <v>1.04</v>
      </c>
      <c r="F16" s="7">
        <v>1.18</v>
      </c>
      <c r="G16" s="7">
        <v>1.02</v>
      </c>
      <c r="H16" s="7">
        <v>1.6</v>
      </c>
      <c r="I16" s="7">
        <v>1.1000000000000001</v>
      </c>
      <c r="J16" s="7">
        <v>0.21</v>
      </c>
      <c r="K16" s="7">
        <v>0.79</v>
      </c>
      <c r="L16" s="7">
        <f t="shared" si="0"/>
        <v>0.99562469615945548</v>
      </c>
      <c r="M16" s="7">
        <f>'X computation'!H16</f>
        <v>1.0001349386029357</v>
      </c>
      <c r="N16" s="7">
        <f t="shared" si="1"/>
        <v>0.23250000000000001</v>
      </c>
      <c r="O16" s="7">
        <f t="shared" si="2"/>
        <v>0.76749999999999996</v>
      </c>
      <c r="P16" s="7">
        <f t="shared" si="3"/>
        <v>0.99908266516489475</v>
      </c>
      <c r="Q16" s="7">
        <f>'X computation'!H16</f>
        <v>1.0001349386029357</v>
      </c>
      <c r="R16" s="7">
        <f t="shared" si="4"/>
        <v>0.99908266516489475</v>
      </c>
      <c r="T16" s="7">
        <f t="shared" si="5"/>
        <v>15.331977528398747</v>
      </c>
    </row>
    <row r="18" spans="20:21" x14ac:dyDescent="0.3">
      <c r="T18">
        <f>AVERAGE(T2:T16)</f>
        <v>10.819514948459824</v>
      </c>
      <c r="U18" t="s">
        <v>65</v>
      </c>
    </row>
    <row r="19" spans="20:21" x14ac:dyDescent="0.3">
      <c r="T19">
        <f>CORREL(P2:P16,F2:F16)</f>
        <v>0.93050503671384621</v>
      </c>
      <c r="U19" t="s">
        <v>66</v>
      </c>
    </row>
  </sheetData>
  <autoFilter ref="A1:I16" xr:uid="{00000000-0009-0000-0000-000006000000}">
    <sortState xmlns:xlrd2="http://schemas.microsoft.com/office/spreadsheetml/2017/richdata2" ref="A2:I16">
      <sortCondition ref="A2:A16"/>
    </sortState>
  </autoFilter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8"/>
  <sheetViews>
    <sheetView zoomScaleNormal="100" workbookViewId="0">
      <selection activeCell="N20" sqref="N20"/>
    </sheetView>
  </sheetViews>
  <sheetFormatPr defaultColWidth="11.5546875" defaultRowHeight="14.4" x14ac:dyDescent="0.3"/>
  <cols>
    <col min="1" max="1" width="3.5546875" customWidth="1"/>
    <col min="2" max="2" width="8.21875" customWidth="1"/>
    <col min="3" max="3" width="2.44140625" customWidth="1"/>
    <col min="4" max="4" width="4.109375" customWidth="1"/>
    <col min="5" max="10" width="8.88671875" customWidth="1"/>
    <col min="11" max="11" width="9.33203125" customWidth="1"/>
  </cols>
  <sheetData>
    <row r="1" spans="1:13" s="20" customFormat="1" ht="21.6" x14ac:dyDescent="0.3">
      <c r="A1" s="19" t="s">
        <v>2</v>
      </c>
      <c r="B1" s="19" t="s">
        <v>0</v>
      </c>
      <c r="C1" s="19" t="s">
        <v>1</v>
      </c>
      <c r="D1" s="19" t="s">
        <v>3</v>
      </c>
      <c r="E1" s="19" t="s">
        <v>36</v>
      </c>
      <c r="F1" s="19" t="s">
        <v>67</v>
      </c>
      <c r="G1" s="19" t="s">
        <v>68</v>
      </c>
      <c r="H1" s="19" t="s">
        <v>69</v>
      </c>
      <c r="I1" s="19" t="s">
        <v>70</v>
      </c>
      <c r="J1" s="19" t="s">
        <v>12</v>
      </c>
      <c r="K1" s="19" t="s">
        <v>13</v>
      </c>
      <c r="M1"/>
    </row>
    <row r="2" spans="1:13" x14ac:dyDescent="0.3">
      <c r="A2" s="2" t="s">
        <v>71</v>
      </c>
      <c r="B2" s="21">
        <v>65536</v>
      </c>
      <c r="C2" s="21">
        <v>5</v>
      </c>
      <c r="D2" s="21">
        <v>256</v>
      </c>
      <c r="E2" s="21">
        <v>0.26</v>
      </c>
      <c r="F2" s="21">
        <v>0.23</v>
      </c>
      <c r="G2" s="21">
        <v>1</v>
      </c>
      <c r="H2" s="21">
        <v>0.01</v>
      </c>
      <c r="I2" s="21">
        <v>1.2</v>
      </c>
      <c r="J2" s="21">
        <v>0.03</v>
      </c>
      <c r="K2" s="22">
        <v>0.96</v>
      </c>
    </row>
    <row r="3" spans="1:13" x14ac:dyDescent="0.3">
      <c r="A3" s="2"/>
      <c r="B3" s="23">
        <v>262144</v>
      </c>
      <c r="C3" s="23">
        <v>6</v>
      </c>
      <c r="D3" s="23">
        <v>256</v>
      </c>
      <c r="E3" s="23">
        <v>0.53</v>
      </c>
      <c r="F3" s="23">
        <v>0.5</v>
      </c>
      <c r="G3" s="23">
        <v>0.93</v>
      </c>
      <c r="H3" s="23">
        <v>0.02</v>
      </c>
      <c r="I3" s="23">
        <v>1.0900000000000001</v>
      </c>
      <c r="J3" s="23">
        <v>0.02</v>
      </c>
      <c r="K3" s="24">
        <v>0.98</v>
      </c>
    </row>
    <row r="4" spans="1:13" x14ac:dyDescent="0.3">
      <c r="A4" s="2"/>
      <c r="B4" s="23">
        <v>1048576</v>
      </c>
      <c r="C4" s="23">
        <v>7</v>
      </c>
      <c r="D4" s="23">
        <v>256</v>
      </c>
      <c r="E4" s="23">
        <v>0.86</v>
      </c>
      <c r="F4" s="23">
        <v>0.85</v>
      </c>
      <c r="G4" s="23">
        <v>0.98</v>
      </c>
      <c r="H4" s="23">
        <v>0.05</v>
      </c>
      <c r="I4" s="23">
        <v>1.1200000000000001</v>
      </c>
      <c r="J4" s="23">
        <v>0.02</v>
      </c>
      <c r="K4" s="24">
        <v>0.98</v>
      </c>
    </row>
    <row r="5" spans="1:13" x14ac:dyDescent="0.3">
      <c r="A5" s="2"/>
      <c r="B5" s="23">
        <v>4194304</v>
      </c>
      <c r="C5" s="23">
        <v>8</v>
      </c>
      <c r="D5" s="23">
        <v>256</v>
      </c>
      <c r="E5" s="23">
        <v>1.04</v>
      </c>
      <c r="F5" s="23">
        <v>1.05</v>
      </c>
      <c r="G5" s="23">
        <v>1.01</v>
      </c>
      <c r="H5" s="23">
        <v>0.21</v>
      </c>
      <c r="I5" s="23">
        <v>1.1299999999999999</v>
      </c>
      <c r="J5" s="23">
        <v>0.02</v>
      </c>
      <c r="K5" s="24">
        <v>0.98</v>
      </c>
    </row>
    <row r="6" spans="1:13" x14ac:dyDescent="0.3">
      <c r="A6" s="2"/>
      <c r="B6" s="25">
        <v>16777216</v>
      </c>
      <c r="C6" s="25">
        <v>9</v>
      </c>
      <c r="D6" s="25">
        <v>256</v>
      </c>
      <c r="E6" s="25">
        <v>1.0900000000000001</v>
      </c>
      <c r="F6" s="25">
        <v>1.1100000000000001</v>
      </c>
      <c r="G6" s="25">
        <v>1</v>
      </c>
      <c r="H6" s="25">
        <v>0.54</v>
      </c>
      <c r="I6" s="25">
        <v>1.1200000000000001</v>
      </c>
      <c r="J6" s="25">
        <v>0.02</v>
      </c>
      <c r="K6" s="26">
        <v>0.98</v>
      </c>
    </row>
    <row r="7" spans="1:13" x14ac:dyDescent="0.3">
      <c r="A7" s="1" t="s">
        <v>72</v>
      </c>
      <c r="B7" s="27">
        <v>65536</v>
      </c>
      <c r="C7" s="21">
        <v>5</v>
      </c>
      <c r="D7" s="21">
        <v>64</v>
      </c>
      <c r="E7" s="21">
        <v>0.68</v>
      </c>
      <c r="F7" s="21">
        <v>0.57999999999999996</v>
      </c>
      <c r="G7" s="21">
        <v>1.05</v>
      </c>
      <c r="H7" s="21">
        <v>0.08</v>
      </c>
      <c r="I7" s="21">
        <v>1.3</v>
      </c>
      <c r="J7" s="21">
        <v>0.08</v>
      </c>
      <c r="K7" s="22">
        <v>0.9</v>
      </c>
    </row>
    <row r="8" spans="1:13" x14ac:dyDescent="0.3">
      <c r="A8" s="1"/>
      <c r="B8" s="28">
        <v>262144</v>
      </c>
      <c r="C8" s="23">
        <v>6</v>
      </c>
      <c r="D8" s="23">
        <v>64</v>
      </c>
      <c r="E8" s="23">
        <v>0.79</v>
      </c>
      <c r="F8" s="23">
        <v>0.76</v>
      </c>
      <c r="G8" s="23">
        <v>0.86</v>
      </c>
      <c r="H8" s="23">
        <v>0.2</v>
      </c>
      <c r="I8" s="23">
        <v>0.98</v>
      </c>
      <c r="J8" s="23">
        <v>7.0000000000000007E-2</v>
      </c>
      <c r="K8" s="24">
        <v>0.92</v>
      </c>
    </row>
    <row r="9" spans="1:13" x14ac:dyDescent="0.3">
      <c r="A9" s="1"/>
      <c r="B9" s="28">
        <v>1048576</v>
      </c>
      <c r="C9" s="23">
        <v>7</v>
      </c>
      <c r="D9" s="23">
        <v>64</v>
      </c>
      <c r="E9" s="23">
        <v>1</v>
      </c>
      <c r="F9" s="23">
        <v>1.02</v>
      </c>
      <c r="G9" s="23">
        <v>0.99</v>
      </c>
      <c r="H9" s="23">
        <v>0.49</v>
      </c>
      <c r="I9" s="23">
        <v>1.0900000000000001</v>
      </c>
      <c r="J9" s="23">
        <v>0.06</v>
      </c>
      <c r="K9" s="24">
        <v>0.94</v>
      </c>
    </row>
    <row r="10" spans="1:13" x14ac:dyDescent="0.3">
      <c r="A10" s="1"/>
      <c r="B10" s="28">
        <v>4194304</v>
      </c>
      <c r="C10" s="23">
        <v>8</v>
      </c>
      <c r="D10" s="23">
        <v>64</v>
      </c>
      <c r="E10" s="23">
        <v>1.04</v>
      </c>
      <c r="F10" s="23">
        <v>1.08</v>
      </c>
      <c r="G10" s="23">
        <v>0.99</v>
      </c>
      <c r="H10" s="23">
        <v>0.92</v>
      </c>
      <c r="I10" s="23">
        <v>1.1000000000000001</v>
      </c>
      <c r="J10" s="23">
        <v>0.06</v>
      </c>
      <c r="K10" s="24">
        <v>0.94</v>
      </c>
    </row>
    <row r="11" spans="1:13" x14ac:dyDescent="0.3">
      <c r="A11" s="1"/>
      <c r="B11" s="29">
        <v>16777216</v>
      </c>
      <c r="C11" s="25">
        <v>9</v>
      </c>
      <c r="D11" s="25">
        <v>64</v>
      </c>
      <c r="E11" s="25">
        <v>1.06</v>
      </c>
      <c r="F11" s="25">
        <v>1.1100000000000001</v>
      </c>
      <c r="G11" s="25">
        <v>1</v>
      </c>
      <c r="H11" s="25">
        <v>1.29</v>
      </c>
      <c r="I11" s="25">
        <v>1.1000000000000001</v>
      </c>
      <c r="J11" s="25">
        <v>0.06</v>
      </c>
      <c r="K11" s="26">
        <v>0.94</v>
      </c>
    </row>
    <row r="12" spans="1:13" x14ac:dyDescent="0.3">
      <c r="A12" s="2" t="s">
        <v>73</v>
      </c>
      <c r="B12" s="21">
        <v>65536</v>
      </c>
      <c r="C12" s="21">
        <v>5</v>
      </c>
      <c r="D12" s="21">
        <v>16</v>
      </c>
      <c r="E12" s="21">
        <v>0.95</v>
      </c>
      <c r="F12" s="21">
        <v>0.69</v>
      </c>
      <c r="G12" s="21">
        <v>1.1299999999999999</v>
      </c>
      <c r="H12" s="21">
        <v>0.32</v>
      </c>
      <c r="I12" s="21">
        <v>1.31</v>
      </c>
      <c r="J12" s="21">
        <v>0.28000000000000003</v>
      </c>
      <c r="K12" s="22">
        <v>0.65</v>
      </c>
    </row>
    <row r="13" spans="1:13" x14ac:dyDescent="0.3">
      <c r="A13" s="2"/>
      <c r="B13" s="23">
        <v>262144</v>
      </c>
      <c r="C13" s="23">
        <v>6</v>
      </c>
      <c r="D13" s="23">
        <v>16</v>
      </c>
      <c r="E13" s="23">
        <v>0.87</v>
      </c>
      <c r="F13" s="23">
        <v>0.85</v>
      </c>
      <c r="G13" s="23">
        <v>0.89</v>
      </c>
      <c r="H13" s="23">
        <v>0.62</v>
      </c>
      <c r="I13" s="23">
        <v>0.96</v>
      </c>
      <c r="J13" s="23">
        <v>0.25</v>
      </c>
      <c r="K13" s="24">
        <v>0.73</v>
      </c>
    </row>
    <row r="14" spans="1:13" x14ac:dyDescent="0.3">
      <c r="A14" s="2"/>
      <c r="B14" s="23">
        <v>1048576</v>
      </c>
      <c r="C14" s="23">
        <v>7</v>
      </c>
      <c r="D14" s="23">
        <v>16</v>
      </c>
      <c r="E14" s="23">
        <v>1.05</v>
      </c>
      <c r="F14" s="23">
        <v>1.1000000000000001</v>
      </c>
      <c r="G14" s="23">
        <v>1.04</v>
      </c>
      <c r="H14" s="23">
        <v>0.97</v>
      </c>
      <c r="I14" s="23">
        <v>1.1299999999999999</v>
      </c>
      <c r="J14" s="23">
        <v>0.2</v>
      </c>
      <c r="K14" s="24">
        <v>0.8</v>
      </c>
    </row>
    <row r="15" spans="1:13" x14ac:dyDescent="0.3">
      <c r="A15" s="2"/>
      <c r="B15" s="23">
        <v>4194304</v>
      </c>
      <c r="C15" s="23">
        <v>8</v>
      </c>
      <c r="D15" s="23">
        <v>16</v>
      </c>
      <c r="E15" s="23">
        <v>1.02</v>
      </c>
      <c r="F15" s="23">
        <v>1.1200000000000001</v>
      </c>
      <c r="G15" s="23">
        <v>1</v>
      </c>
      <c r="H15" s="23">
        <v>1.28</v>
      </c>
      <c r="I15" s="23">
        <v>1.0900000000000001</v>
      </c>
      <c r="J15" s="23">
        <v>0.2</v>
      </c>
      <c r="K15" s="24">
        <v>0.8</v>
      </c>
    </row>
    <row r="16" spans="1:13" x14ac:dyDescent="0.3">
      <c r="A16" s="2"/>
      <c r="B16" s="25">
        <v>16777216</v>
      </c>
      <c r="C16" s="25">
        <v>9</v>
      </c>
      <c r="D16" s="25">
        <v>16</v>
      </c>
      <c r="E16" s="25">
        <v>1.04</v>
      </c>
      <c r="F16" s="25">
        <v>1.18</v>
      </c>
      <c r="G16" s="25">
        <v>1.02</v>
      </c>
      <c r="H16" s="25">
        <v>1.6</v>
      </c>
      <c r="I16" s="25">
        <v>1.1000000000000001</v>
      </c>
      <c r="J16" s="25">
        <v>0.21</v>
      </c>
      <c r="K16" s="26">
        <v>0.79</v>
      </c>
    </row>
    <row r="19" spans="1:21" x14ac:dyDescent="0.3">
      <c r="A19" s="30" t="s">
        <v>74</v>
      </c>
      <c r="B19" s="30"/>
      <c r="C19" s="30"/>
      <c r="D19" s="30"/>
      <c r="E19" s="30"/>
    </row>
    <row r="20" spans="1:21" ht="42" x14ac:dyDescent="0.3">
      <c r="A20" s="31" t="s">
        <v>2</v>
      </c>
      <c r="B20" s="32" t="s">
        <v>0</v>
      </c>
      <c r="C20" s="32" t="s">
        <v>1</v>
      </c>
      <c r="D20" s="32" t="s">
        <v>3</v>
      </c>
      <c r="E20" s="32" t="s">
        <v>36</v>
      </c>
      <c r="F20" s="32" t="s">
        <v>67</v>
      </c>
      <c r="G20" s="32" t="s">
        <v>69</v>
      </c>
      <c r="H20" s="33" t="s">
        <v>70</v>
      </c>
      <c r="I20" s="33" t="s">
        <v>75</v>
      </c>
      <c r="J20" t="s">
        <v>64</v>
      </c>
      <c r="K20" t="s">
        <v>76</v>
      </c>
      <c r="L20" t="s">
        <v>76</v>
      </c>
    </row>
    <row r="21" spans="1:21" x14ac:dyDescent="0.3">
      <c r="A21" s="2" t="s">
        <v>71</v>
      </c>
      <c r="B21" s="21">
        <v>65536</v>
      </c>
      <c r="C21" s="21">
        <v>4</v>
      </c>
      <c r="D21" s="21">
        <v>256</v>
      </c>
      <c r="E21" s="21">
        <f t="shared" ref="E21:E35" si="0">ROUND(E2/G2,2)</f>
        <v>0.26</v>
      </c>
      <c r="F21" s="21">
        <f t="shared" ref="F21:F35" si="1">ROUND(F2/G2,2)</f>
        <v>0.23</v>
      </c>
      <c r="G21" s="21">
        <f t="shared" ref="G21:G35" si="2">ROUND(H2/G2,2)</f>
        <v>0.01</v>
      </c>
      <c r="H21" s="22">
        <f t="shared" ref="H21:H35" si="3">ROUND(I2/G2,2)</f>
        <v>1.2</v>
      </c>
      <c r="I21" s="33">
        <f>ROUND(E21*'X level'!D3,2)</f>
        <v>0.11</v>
      </c>
      <c r="J21">
        <f>((ABS(F21-'final speedup'!P2)/F21)*100)</f>
        <v>7.850406405078088</v>
      </c>
      <c r="K21">
        <f>AVERAGE(I21:I25)</f>
        <v>0.29999999999999993</v>
      </c>
      <c r="L21">
        <f>AVERAGE(I21,I26,I31)</f>
        <v>0.69333333333333336</v>
      </c>
    </row>
    <row r="22" spans="1:21" x14ac:dyDescent="0.3">
      <c r="A22" s="2"/>
      <c r="B22" s="23">
        <v>262144</v>
      </c>
      <c r="C22" s="23">
        <v>5</v>
      </c>
      <c r="D22" s="23">
        <v>256</v>
      </c>
      <c r="E22" s="34">
        <f t="shared" si="0"/>
        <v>0.56999999999999995</v>
      </c>
      <c r="F22" s="34">
        <f t="shared" si="1"/>
        <v>0.54</v>
      </c>
      <c r="G22" s="34">
        <f t="shared" si="2"/>
        <v>0.02</v>
      </c>
      <c r="H22" s="24">
        <f t="shared" si="3"/>
        <v>1.17</v>
      </c>
      <c r="I22" s="33">
        <f>ROUND(E22*'X level'!D4,2)</f>
        <v>0.22</v>
      </c>
      <c r="J22">
        <f>((ABS(F22-'final speedup'!P3)/F22)*100)</f>
        <v>12.69898073049932</v>
      </c>
      <c r="L22">
        <f>AVERAGE(I22,I27,I32)</f>
        <v>0.66333333333333344</v>
      </c>
    </row>
    <row r="23" spans="1:21" x14ac:dyDescent="0.3">
      <c r="A23" s="2"/>
      <c r="B23" s="23">
        <v>1048576</v>
      </c>
      <c r="C23" s="23">
        <v>6</v>
      </c>
      <c r="D23" s="23">
        <v>256</v>
      </c>
      <c r="E23" s="34">
        <f t="shared" si="0"/>
        <v>0.88</v>
      </c>
      <c r="F23" s="34">
        <f t="shared" si="1"/>
        <v>0.87</v>
      </c>
      <c r="G23" s="34">
        <f t="shared" si="2"/>
        <v>0.05</v>
      </c>
      <c r="H23" s="24">
        <f t="shared" si="3"/>
        <v>1.1399999999999999</v>
      </c>
      <c r="I23" s="33">
        <f>ROUND(E23*'X level'!D5,2)</f>
        <v>0.36</v>
      </c>
      <c r="J23">
        <f>((ABS(F23-'final speedup'!P4)/F23)*100)</f>
        <v>14.846296661717332</v>
      </c>
      <c r="L23">
        <f>AVERAGE(I23,I28,I33)</f>
        <v>0.72666666666666657</v>
      </c>
      <c r="U23" t="s">
        <v>77</v>
      </c>
    </row>
    <row r="24" spans="1:21" x14ac:dyDescent="0.3">
      <c r="A24" s="2"/>
      <c r="B24" s="23">
        <v>4194304</v>
      </c>
      <c r="C24" s="23">
        <v>7</v>
      </c>
      <c r="D24" s="23">
        <v>256</v>
      </c>
      <c r="E24" s="34">
        <f t="shared" si="0"/>
        <v>1.03</v>
      </c>
      <c r="F24" s="34">
        <f t="shared" si="1"/>
        <v>1.04</v>
      </c>
      <c r="G24" s="34">
        <f t="shared" si="2"/>
        <v>0.21</v>
      </c>
      <c r="H24" s="24">
        <f t="shared" si="3"/>
        <v>1.1200000000000001</v>
      </c>
      <c r="I24" s="33">
        <f>ROUND(E24*'X level'!D6,2)</f>
        <v>0.4</v>
      </c>
      <c r="J24">
        <f>((ABS(F24-'final speedup'!P5)/F24)*100)</f>
        <v>0.44043435226805472</v>
      </c>
      <c r="L24">
        <f>AVERAGE(I24,I29,I34)</f>
        <v>0.81666666666666676</v>
      </c>
    </row>
    <row r="25" spans="1:21" x14ac:dyDescent="0.3">
      <c r="A25" s="2"/>
      <c r="B25" s="25">
        <v>16777216</v>
      </c>
      <c r="C25" s="25">
        <v>8</v>
      </c>
      <c r="D25" s="25">
        <v>256</v>
      </c>
      <c r="E25" s="25">
        <f t="shared" si="0"/>
        <v>1.0900000000000001</v>
      </c>
      <c r="F25" s="25">
        <f t="shared" si="1"/>
        <v>1.1100000000000001</v>
      </c>
      <c r="G25" s="25">
        <f t="shared" si="2"/>
        <v>0.54</v>
      </c>
      <c r="H25" s="26">
        <f t="shared" si="3"/>
        <v>1.1200000000000001</v>
      </c>
      <c r="I25" s="33">
        <f>ROUND(E25*'X level'!D7,2)</f>
        <v>0.41</v>
      </c>
      <c r="J25">
        <f>((ABS(F25-'final speedup'!P6)/F25)*100)</f>
        <v>8.4460944857005344</v>
      </c>
      <c r="L25">
        <f>AVERAGE(I25,I30,I35)</f>
        <v>0.82666666666666666</v>
      </c>
    </row>
    <row r="26" spans="1:21" x14ac:dyDescent="0.3">
      <c r="A26" s="2" t="s">
        <v>72</v>
      </c>
      <c r="B26" s="21">
        <v>65536</v>
      </c>
      <c r="C26" s="21">
        <v>5</v>
      </c>
      <c r="D26" s="21">
        <v>64</v>
      </c>
      <c r="E26" s="21">
        <f t="shared" si="0"/>
        <v>0.65</v>
      </c>
      <c r="F26" s="21">
        <f t="shared" si="1"/>
        <v>0.55000000000000004</v>
      </c>
      <c r="G26" s="21">
        <f t="shared" si="2"/>
        <v>0.08</v>
      </c>
      <c r="H26" s="22">
        <f t="shared" si="3"/>
        <v>1.24</v>
      </c>
      <c r="I26" s="33">
        <f>E6</f>
        <v>1.0900000000000001</v>
      </c>
      <c r="J26">
        <f>((ABS(F26-'final speedup'!P7)/F26)*100)</f>
        <v>1.1537010452640823</v>
      </c>
      <c r="K26">
        <f>AVERAGE(I26:I30)</f>
        <v>0.91999999999999993</v>
      </c>
    </row>
    <row r="27" spans="1:21" x14ac:dyDescent="0.3">
      <c r="A27" s="2"/>
      <c r="B27" s="34">
        <v>262144</v>
      </c>
      <c r="C27" s="23">
        <v>6</v>
      </c>
      <c r="D27" s="23">
        <v>64</v>
      </c>
      <c r="E27" s="34">
        <f t="shared" si="0"/>
        <v>0.92</v>
      </c>
      <c r="F27" s="34">
        <f t="shared" si="1"/>
        <v>0.88</v>
      </c>
      <c r="G27" s="34">
        <f t="shared" si="2"/>
        <v>0.23</v>
      </c>
      <c r="H27" s="24">
        <f t="shared" si="3"/>
        <v>1.1399999999999999</v>
      </c>
      <c r="I27" s="33">
        <f>E7</f>
        <v>0.68</v>
      </c>
      <c r="J27">
        <f>((ABS(F27-'final speedup'!P8)/F27)*100)</f>
        <v>1.9141081812695426</v>
      </c>
    </row>
    <row r="28" spans="1:21" x14ac:dyDescent="0.3">
      <c r="A28" s="2"/>
      <c r="B28" s="34">
        <v>1048576</v>
      </c>
      <c r="C28" s="23">
        <v>7</v>
      </c>
      <c r="D28" s="23">
        <v>64</v>
      </c>
      <c r="E28" s="34">
        <f t="shared" si="0"/>
        <v>1.01</v>
      </c>
      <c r="F28" s="34">
        <f t="shared" si="1"/>
        <v>1.03</v>
      </c>
      <c r="G28" s="34">
        <f t="shared" si="2"/>
        <v>0.49</v>
      </c>
      <c r="H28" s="24">
        <f t="shared" si="3"/>
        <v>1.1000000000000001</v>
      </c>
      <c r="I28" s="33">
        <f>E8</f>
        <v>0.79</v>
      </c>
      <c r="J28">
        <f>((ABS(F28-'final speedup'!P9)/F28)*100)</f>
        <v>6.1576549298676309</v>
      </c>
    </row>
    <row r="29" spans="1:21" x14ac:dyDescent="0.3">
      <c r="A29" s="2"/>
      <c r="B29" s="34">
        <v>4194304</v>
      </c>
      <c r="C29" s="23">
        <v>8</v>
      </c>
      <c r="D29" s="23">
        <v>64</v>
      </c>
      <c r="E29" s="34">
        <f t="shared" si="0"/>
        <v>1.05</v>
      </c>
      <c r="F29" s="34">
        <f t="shared" si="1"/>
        <v>1.0900000000000001</v>
      </c>
      <c r="G29" s="34">
        <f t="shared" si="2"/>
        <v>0.93</v>
      </c>
      <c r="H29" s="24">
        <f t="shared" si="3"/>
        <v>1.1100000000000001</v>
      </c>
      <c r="I29" s="33">
        <f>E9</f>
        <v>1</v>
      </c>
      <c r="J29">
        <f>((ABS(F29-'final speedup'!P10)/F29)*100)</f>
        <v>9.0073373729254662</v>
      </c>
    </row>
    <row r="30" spans="1:21" x14ac:dyDescent="0.3">
      <c r="A30" s="2"/>
      <c r="B30" s="25">
        <v>16777216</v>
      </c>
      <c r="C30" s="25">
        <v>9</v>
      </c>
      <c r="D30" s="25">
        <v>64</v>
      </c>
      <c r="E30" s="25">
        <f t="shared" si="0"/>
        <v>1.06</v>
      </c>
      <c r="F30" s="25">
        <f t="shared" si="1"/>
        <v>1.1100000000000001</v>
      </c>
      <c r="G30" s="25">
        <f t="shared" si="2"/>
        <v>1.29</v>
      </c>
      <c r="H30" s="26">
        <f t="shared" si="3"/>
        <v>1.1000000000000001</v>
      </c>
      <c r="I30" s="33">
        <f>E10</f>
        <v>1.04</v>
      </c>
      <c r="J30">
        <f>((ABS(F30-'final speedup'!P11)/F30)*100)</f>
        <v>10.092906397125116</v>
      </c>
    </row>
    <row r="31" spans="1:21" x14ac:dyDescent="0.3">
      <c r="A31" s="2" t="s">
        <v>73</v>
      </c>
      <c r="B31" s="21">
        <v>65536</v>
      </c>
      <c r="C31" s="21">
        <v>6</v>
      </c>
      <c r="D31" s="21">
        <v>16</v>
      </c>
      <c r="E31" s="21">
        <f t="shared" si="0"/>
        <v>0.84</v>
      </c>
      <c r="F31" s="21">
        <f t="shared" si="1"/>
        <v>0.61</v>
      </c>
      <c r="G31" s="21">
        <f t="shared" si="2"/>
        <v>0.28000000000000003</v>
      </c>
      <c r="H31" s="22">
        <f t="shared" si="3"/>
        <v>1.1599999999999999</v>
      </c>
      <c r="I31" s="33">
        <f>ROUND(E31*'X level'!I3,2)</f>
        <v>0.88</v>
      </c>
      <c r="J31">
        <f>((ABS(F31-'final speedup'!P12)/F31)*100)</f>
        <v>32.551528198125212</v>
      </c>
      <c r="K31">
        <f>AVERAGE(I31:I35)</f>
        <v>1.016</v>
      </c>
    </row>
    <row r="32" spans="1:21" x14ac:dyDescent="0.3">
      <c r="A32" s="2"/>
      <c r="B32" s="23">
        <v>262144</v>
      </c>
      <c r="C32" s="23">
        <v>7</v>
      </c>
      <c r="D32" s="23">
        <v>16</v>
      </c>
      <c r="E32" s="34">
        <f t="shared" si="0"/>
        <v>0.98</v>
      </c>
      <c r="F32" s="34">
        <f t="shared" si="1"/>
        <v>0.96</v>
      </c>
      <c r="G32" s="34">
        <f t="shared" si="2"/>
        <v>0.7</v>
      </c>
      <c r="H32" s="24">
        <f t="shared" si="3"/>
        <v>1.08</v>
      </c>
      <c r="I32" s="33">
        <f>ROUND(E32*'X level'!I4,2)</f>
        <v>1.0900000000000001</v>
      </c>
      <c r="J32">
        <f>((ABS(F32-'final speedup'!P13)/F32)*100)</f>
        <v>1.6250703125529273</v>
      </c>
    </row>
    <row r="33" spans="1:11" x14ac:dyDescent="0.3">
      <c r="A33" s="2"/>
      <c r="B33" s="23">
        <v>1048576</v>
      </c>
      <c r="C33" s="23">
        <v>8</v>
      </c>
      <c r="D33" s="23">
        <v>16</v>
      </c>
      <c r="E33" s="34">
        <f t="shared" si="0"/>
        <v>1.01</v>
      </c>
      <c r="F33" s="34">
        <f t="shared" si="1"/>
        <v>1.06</v>
      </c>
      <c r="G33" s="34">
        <f t="shared" si="2"/>
        <v>0.93</v>
      </c>
      <c r="H33" s="24">
        <f t="shared" si="3"/>
        <v>1.0900000000000001</v>
      </c>
      <c r="I33" s="33">
        <f>ROUND(E33*'X level'!I5,2)</f>
        <v>1.03</v>
      </c>
      <c r="J33">
        <f>((ABS(F33-'final speedup'!P14)/F33)*100)</f>
        <v>7.0268514106378284</v>
      </c>
    </row>
    <row r="34" spans="1:11" x14ac:dyDescent="0.3">
      <c r="A34" s="2"/>
      <c r="B34" s="23">
        <v>4194304</v>
      </c>
      <c r="C34" s="23">
        <v>9</v>
      </c>
      <c r="D34" s="23">
        <v>16</v>
      </c>
      <c r="E34" s="34">
        <f t="shared" si="0"/>
        <v>1.02</v>
      </c>
      <c r="F34" s="34">
        <f t="shared" si="1"/>
        <v>1.1200000000000001</v>
      </c>
      <c r="G34" s="34">
        <f t="shared" si="2"/>
        <v>1.28</v>
      </c>
      <c r="H34" s="24">
        <f t="shared" si="3"/>
        <v>1.0900000000000001</v>
      </c>
      <c r="I34" s="33">
        <f>ROUND(E34*'X level'!I6,2)</f>
        <v>1.05</v>
      </c>
      <c r="J34">
        <f>((ABS(F34-'final speedup'!P15)/F34)*100)</f>
        <v>11.041035857633258</v>
      </c>
    </row>
    <row r="35" spans="1:11" x14ac:dyDescent="0.3">
      <c r="A35" s="2"/>
      <c r="B35" s="25">
        <v>16777216</v>
      </c>
      <c r="C35" s="25">
        <v>10</v>
      </c>
      <c r="D35" s="25">
        <v>16</v>
      </c>
      <c r="E35" s="25">
        <f t="shared" si="0"/>
        <v>1.02</v>
      </c>
      <c r="F35" s="25">
        <f t="shared" si="1"/>
        <v>1.1599999999999999</v>
      </c>
      <c r="G35" s="25">
        <f t="shared" si="2"/>
        <v>1.57</v>
      </c>
      <c r="H35" s="26">
        <f t="shared" si="3"/>
        <v>1.08</v>
      </c>
      <c r="I35" s="33">
        <f>ROUND(E35*'X level'!I7,2)</f>
        <v>1.03</v>
      </c>
      <c r="J35">
        <f>((ABS(F35-'final speedup'!P16)/F35)*100)</f>
        <v>13.872184037509067</v>
      </c>
    </row>
    <row r="36" spans="1:11" x14ac:dyDescent="0.3">
      <c r="K36">
        <f>AVERAGE(K21,K26,K31)</f>
        <v>0.74533333333333329</v>
      </c>
    </row>
    <row r="37" spans="1:11" x14ac:dyDescent="0.3">
      <c r="J37">
        <f>AVERAGE(J21:J35)</f>
        <v>9.2483060252115656</v>
      </c>
      <c r="K37" t="s">
        <v>65</v>
      </c>
    </row>
    <row r="38" spans="1:11" x14ac:dyDescent="0.3">
      <c r="J38">
        <f>CORREL(F21:F35,'final speedup'!P2:P16)</f>
        <v>0.94234542620176487</v>
      </c>
      <c r="K38" t="s">
        <v>78</v>
      </c>
    </row>
  </sheetData>
  <mergeCells count="6">
    <mergeCell ref="A31:A35"/>
    <mergeCell ref="A2:A6"/>
    <mergeCell ref="A7:A11"/>
    <mergeCell ref="A12:A16"/>
    <mergeCell ref="A21:A25"/>
    <mergeCell ref="A26:A30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non_redundnat</vt:lpstr>
      <vt:lpstr>X level</vt:lpstr>
      <vt:lpstr>RF 2</vt:lpstr>
      <vt:lpstr>X</vt:lpstr>
      <vt:lpstr>X transfer</vt:lpstr>
      <vt:lpstr>X computation</vt:lpstr>
      <vt:lpstr>final speedup</vt:lpstr>
      <vt:lpstr>final speedup 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morteza sadeghi</dc:creator>
  <dc:description/>
  <cp:lastModifiedBy>morteza sadeghi</cp:lastModifiedBy>
  <cp:revision>12</cp:revision>
  <dcterms:created xsi:type="dcterms:W3CDTF">2025-03-03T08:49:05Z</dcterms:created>
  <dcterms:modified xsi:type="dcterms:W3CDTF">2025-09-14T11:54:47Z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