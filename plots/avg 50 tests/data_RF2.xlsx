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2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drawings/drawing3.xml" ContentType="application/vnd.openxmlformats-officedocument.drawing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G:\Projects\MPLM\6- parallelization\9 - potential\C_ mert inverse scattering\bicgstab001_clean\bicgstab001\results\test p2p _ level rf2 avg50tests\"/>
    </mc:Choice>
  </mc:AlternateContent>
  <xr:revisionPtr revIDLastSave="0" documentId="13_ncr:1_{DDD89778-D080-41B3-96E7-6A1286B77F1A}" xr6:coauthVersionLast="47" xr6:coauthVersionMax="47" xr10:uidLastSave="{00000000-0000-0000-0000-000000000000}"/>
  <bookViews>
    <workbookView xWindow="-108" yWindow="-108" windowWidth="23256" windowHeight="12576" activeTab="3" xr2:uid="{B474BC87-B0CB-4A73-9E49-65EEB5816FDA}"/>
  </bookViews>
  <sheets>
    <sheet name="non_redundnat" sheetId="2" r:id="rId1"/>
    <sheet name="X level inc" sheetId="4" r:id="rId2"/>
    <sheet name="redundant RF2" sheetId="1" r:id="rId3"/>
    <sheet name="X redundant" sheetId="3" r:id="rId4"/>
  </sheets>
  <definedNames>
    <definedName name="_xlnm._FilterDatabase" localSheetId="0" hidden="1">non_redundnat!$A$25:$L$42</definedName>
    <definedName name="_xlnm._FilterDatabase" localSheetId="2" hidden="1">'redundant RF2'!$A$1:$N$18</definedName>
    <definedName name="_xlnm._FilterDatabase" localSheetId="1" hidden="1">'X level inc'!$A$2:$Q$19</definedName>
    <definedName name="_xlnm._FilterDatabase" localSheetId="3" hidden="1">'X redundant'!$A$34:$L$51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82" i="1" l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O19" i="3"/>
  <c r="O18" i="3"/>
  <c r="O17" i="3"/>
  <c r="O16" i="3"/>
  <c r="O15" i="3"/>
  <c r="O14" i="3"/>
  <c r="O13" i="3"/>
  <c r="O12" i="3"/>
  <c r="O11" i="3"/>
  <c r="O10" i="3"/>
  <c r="O9" i="3"/>
  <c r="O8" i="3"/>
  <c r="O7" i="3"/>
  <c r="O6" i="3"/>
  <c r="O5" i="3"/>
  <c r="O4" i="3"/>
  <c r="O3" i="3"/>
  <c r="N19" i="3"/>
  <c r="N18" i="3"/>
  <c r="N17" i="3"/>
  <c r="N16" i="3"/>
  <c r="N15" i="3"/>
  <c r="N14" i="3"/>
  <c r="N13" i="3"/>
  <c r="N12" i="3"/>
  <c r="N11" i="3"/>
  <c r="N10" i="3"/>
  <c r="N9" i="3"/>
  <c r="N8" i="3"/>
  <c r="N7" i="3"/>
  <c r="N6" i="3"/>
  <c r="N5" i="3"/>
  <c r="N4" i="3"/>
  <c r="N3" i="3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G52" i="1"/>
  <c r="H52" i="1"/>
  <c r="E88" i="1" l="1"/>
  <c r="E83" i="1"/>
  <c r="E89" i="1"/>
  <c r="E94" i="1"/>
  <c r="E84" i="1"/>
  <c r="E90" i="1"/>
  <c r="E95" i="1"/>
  <c r="E85" i="1"/>
  <c r="E91" i="1"/>
  <c r="E96" i="1"/>
  <c r="E86" i="1"/>
  <c r="E92" i="1"/>
  <c r="E97" i="1"/>
  <c r="E87" i="1"/>
  <c r="E93" i="1"/>
  <c r="E98" i="1"/>
  <c r="E82" i="1"/>
  <c r="I62" i="1"/>
  <c r="I63" i="1"/>
  <c r="I64" i="1"/>
  <c r="I65" i="1"/>
  <c r="I66" i="1"/>
  <c r="J66" i="1" s="1"/>
  <c r="I67" i="1"/>
  <c r="J67" i="1" s="1"/>
  <c r="I68" i="1"/>
  <c r="J68" i="1" s="1"/>
  <c r="I69" i="1"/>
  <c r="J69" i="1" s="1"/>
  <c r="I70" i="1"/>
  <c r="J70" i="1" s="1"/>
  <c r="I71" i="1"/>
  <c r="J71" i="1" s="1"/>
  <c r="I72" i="1"/>
  <c r="J72" i="1" s="1"/>
  <c r="I73" i="1"/>
  <c r="I74" i="1"/>
  <c r="J74" i="1" s="1"/>
  <c r="I75" i="1"/>
  <c r="J75" i="1" s="1"/>
  <c r="I76" i="1"/>
  <c r="J76" i="1" s="1"/>
  <c r="I77" i="1"/>
  <c r="J77" i="1" s="1"/>
  <c r="I61" i="1"/>
  <c r="J73" i="1"/>
  <c r="J65" i="1"/>
  <c r="J64" i="1"/>
  <c r="J63" i="1"/>
  <c r="J62" i="1"/>
  <c r="J61" i="1"/>
  <c r="I98" i="1"/>
  <c r="I93" i="1"/>
  <c r="I87" i="1"/>
  <c r="I97" i="1"/>
  <c r="I92" i="1"/>
  <c r="I86" i="1"/>
  <c r="I96" i="1"/>
  <c r="I91" i="1"/>
  <c r="I85" i="1"/>
  <c r="I95" i="1"/>
  <c r="I90" i="1"/>
  <c r="I84" i="1"/>
  <c r="I94" i="1"/>
  <c r="I89" i="1"/>
  <c r="I83" i="1"/>
  <c r="I88" i="1"/>
  <c r="I82" i="1"/>
  <c r="H82" i="1"/>
  <c r="G62" i="1"/>
  <c r="H62" i="1"/>
  <c r="G63" i="1"/>
  <c r="H63" i="1"/>
  <c r="G64" i="1"/>
  <c r="H64" i="1"/>
  <c r="G65" i="1"/>
  <c r="H65" i="1"/>
  <c r="G66" i="1"/>
  <c r="H66" i="1"/>
  <c r="G67" i="1"/>
  <c r="H67" i="1"/>
  <c r="G68" i="1"/>
  <c r="H68" i="1"/>
  <c r="G69" i="1"/>
  <c r="H69" i="1"/>
  <c r="G70" i="1"/>
  <c r="H70" i="1"/>
  <c r="G71" i="1"/>
  <c r="H71" i="1"/>
  <c r="G72" i="1"/>
  <c r="H72" i="1"/>
  <c r="G73" i="1"/>
  <c r="H73" i="1"/>
  <c r="G74" i="1"/>
  <c r="H74" i="1"/>
  <c r="G75" i="1"/>
  <c r="H75" i="1"/>
  <c r="G76" i="1"/>
  <c r="H76" i="1"/>
  <c r="G77" i="1"/>
  <c r="H77" i="1"/>
  <c r="H61" i="1"/>
  <c r="G61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36" i="1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26" i="2"/>
  <c r="N3" i="4"/>
  <c r="P3" i="4"/>
  <c r="O3" i="4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26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79" i="2"/>
  <c r="J91" i="2"/>
  <c r="H80" i="2"/>
  <c r="H81" i="2"/>
  <c r="H82" i="2"/>
  <c r="J82" i="2" s="1"/>
  <c r="H83" i="2"/>
  <c r="H84" i="2"/>
  <c r="H85" i="2"/>
  <c r="H86" i="2"/>
  <c r="H87" i="2"/>
  <c r="H88" i="2"/>
  <c r="H89" i="2"/>
  <c r="H90" i="2"/>
  <c r="J90" i="2" s="1"/>
  <c r="H91" i="2"/>
  <c r="H92" i="2"/>
  <c r="H93" i="2"/>
  <c r="H94" i="2"/>
  <c r="H95" i="2"/>
  <c r="H79" i="2"/>
  <c r="G79" i="2" a="1"/>
  <c r="G79" i="2" s="1"/>
  <c r="F80" i="2"/>
  <c r="F81" i="2"/>
  <c r="F82" i="2"/>
  <c r="F83" i="2"/>
  <c r="J83" i="2" s="1"/>
  <c r="F84" i="2"/>
  <c r="F85" i="2"/>
  <c r="F86" i="2"/>
  <c r="F87" i="2"/>
  <c r="F88" i="2"/>
  <c r="F89" i="2"/>
  <c r="F90" i="2"/>
  <c r="F91" i="2"/>
  <c r="F92" i="2"/>
  <c r="F93" i="2"/>
  <c r="F94" i="2"/>
  <c r="F95" i="2"/>
  <c r="F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79" i="2"/>
  <c r="L42" i="2"/>
  <c r="K42" i="2"/>
  <c r="L37" i="2"/>
  <c r="K37" i="2"/>
  <c r="L31" i="2"/>
  <c r="K31" i="2"/>
  <c r="L41" i="2"/>
  <c r="K41" i="2"/>
  <c r="L36" i="2"/>
  <c r="K36" i="2"/>
  <c r="L30" i="2"/>
  <c r="K30" i="2"/>
  <c r="L40" i="2"/>
  <c r="K40" i="2"/>
  <c r="L35" i="2"/>
  <c r="K35" i="2"/>
  <c r="L29" i="2"/>
  <c r="K29" i="2"/>
  <c r="L39" i="2"/>
  <c r="K39" i="2"/>
  <c r="L34" i="2"/>
  <c r="K34" i="2"/>
  <c r="L28" i="2"/>
  <c r="K28" i="2"/>
  <c r="L38" i="2"/>
  <c r="K38" i="2"/>
  <c r="L33" i="2"/>
  <c r="K33" i="2"/>
  <c r="L27" i="2"/>
  <c r="K27" i="2"/>
  <c r="L32" i="2"/>
  <c r="K32" i="2"/>
  <c r="L26" i="2"/>
  <c r="K26" i="2"/>
  <c r="Q19" i="4"/>
  <c r="P19" i="4"/>
  <c r="O19" i="4"/>
  <c r="N19" i="4"/>
  <c r="M19" i="4"/>
  <c r="Q17" i="4"/>
  <c r="P17" i="4"/>
  <c r="O17" i="4"/>
  <c r="N17" i="4"/>
  <c r="M17" i="4"/>
  <c r="Q16" i="4"/>
  <c r="P16" i="4"/>
  <c r="O16" i="4"/>
  <c r="N16" i="4"/>
  <c r="M16" i="4"/>
  <c r="Q14" i="4"/>
  <c r="P14" i="4"/>
  <c r="O14" i="4"/>
  <c r="N14" i="4"/>
  <c r="M14" i="4"/>
  <c r="Q13" i="4"/>
  <c r="P13" i="4"/>
  <c r="O13" i="4"/>
  <c r="N13" i="4"/>
  <c r="M13" i="4"/>
  <c r="Q11" i="4"/>
  <c r="P11" i="4"/>
  <c r="O11" i="4"/>
  <c r="N11" i="4"/>
  <c r="M11" i="4"/>
  <c r="Q10" i="4"/>
  <c r="P10" i="4"/>
  <c r="O10" i="4"/>
  <c r="N10" i="4"/>
  <c r="M10" i="4"/>
  <c r="Q8" i="4"/>
  <c r="P8" i="4"/>
  <c r="O8" i="4"/>
  <c r="N8" i="4"/>
  <c r="M8" i="4"/>
  <c r="Q7" i="4"/>
  <c r="P7" i="4"/>
  <c r="O7" i="4"/>
  <c r="N7" i="4"/>
  <c r="M7" i="4"/>
  <c r="Q5" i="4"/>
  <c r="P5" i="4"/>
  <c r="O5" i="4"/>
  <c r="N5" i="4"/>
  <c r="M5" i="4"/>
  <c r="Q3" i="4"/>
  <c r="M3" i="4"/>
  <c r="L19" i="4"/>
  <c r="K19" i="4"/>
  <c r="L18" i="4"/>
  <c r="K18" i="4"/>
  <c r="L17" i="4"/>
  <c r="K17" i="4"/>
  <c r="L16" i="4"/>
  <c r="K16" i="4"/>
  <c r="L15" i="4"/>
  <c r="K15" i="4"/>
  <c r="L14" i="4"/>
  <c r="K14" i="4"/>
  <c r="L13" i="4"/>
  <c r="K13" i="4"/>
  <c r="L12" i="4"/>
  <c r="K12" i="4"/>
  <c r="L11" i="4"/>
  <c r="K11" i="4"/>
  <c r="L10" i="4"/>
  <c r="K10" i="4"/>
  <c r="L9" i="4"/>
  <c r="K9" i="4"/>
  <c r="L8" i="4"/>
  <c r="K8" i="4"/>
  <c r="L7" i="4"/>
  <c r="K7" i="4"/>
  <c r="L6" i="4"/>
  <c r="K6" i="4"/>
  <c r="L5" i="4"/>
  <c r="K5" i="4"/>
  <c r="L4" i="4"/>
  <c r="K4" i="4"/>
  <c r="L3" i="4"/>
  <c r="K3" i="4"/>
  <c r="A15" i="3"/>
  <c r="B15" i="3"/>
  <c r="C15" i="3"/>
  <c r="D15" i="3"/>
  <c r="E15" i="3"/>
  <c r="F15" i="3"/>
  <c r="G15" i="3"/>
  <c r="M15" i="3" s="1"/>
  <c r="H15" i="3"/>
  <c r="I15" i="3"/>
  <c r="A16" i="3"/>
  <c r="B16" i="3"/>
  <c r="C16" i="3"/>
  <c r="D16" i="3"/>
  <c r="E16" i="3"/>
  <c r="F16" i="3"/>
  <c r="G16" i="3"/>
  <c r="M16" i="3" s="1"/>
  <c r="H16" i="3"/>
  <c r="I16" i="3"/>
  <c r="A17" i="3"/>
  <c r="B17" i="3"/>
  <c r="C17" i="3"/>
  <c r="D17" i="3"/>
  <c r="E17" i="3"/>
  <c r="F17" i="3"/>
  <c r="G17" i="3"/>
  <c r="M17" i="3" s="1"/>
  <c r="H17" i="3"/>
  <c r="I17" i="3"/>
  <c r="A18" i="3"/>
  <c r="B18" i="3"/>
  <c r="C18" i="3"/>
  <c r="D18" i="3"/>
  <c r="E18" i="3"/>
  <c r="F18" i="3"/>
  <c r="G18" i="3"/>
  <c r="M18" i="3" s="1"/>
  <c r="H18" i="3"/>
  <c r="I18" i="3"/>
  <c r="A19" i="3"/>
  <c r="B19" i="3"/>
  <c r="C19" i="3"/>
  <c r="D19" i="3"/>
  <c r="E19" i="3"/>
  <c r="F19" i="3"/>
  <c r="G19" i="3"/>
  <c r="M19" i="3" s="1"/>
  <c r="H19" i="3"/>
  <c r="I19" i="3"/>
  <c r="K3" i="1"/>
  <c r="L3" i="1"/>
  <c r="M3" i="1"/>
  <c r="N3" i="1"/>
  <c r="K2" i="1"/>
  <c r="L2" i="1"/>
  <c r="M2" i="1"/>
  <c r="N2" i="1"/>
  <c r="K6" i="1"/>
  <c r="L6" i="1"/>
  <c r="M6" i="1"/>
  <c r="N6" i="1"/>
  <c r="K5" i="1"/>
  <c r="L5" i="1"/>
  <c r="M5" i="1"/>
  <c r="N5" i="1"/>
  <c r="K4" i="1"/>
  <c r="L4" i="1"/>
  <c r="M4" i="1"/>
  <c r="N4" i="1"/>
  <c r="K3" i="2"/>
  <c r="L3" i="2"/>
  <c r="K2" i="2"/>
  <c r="L2" i="2"/>
  <c r="K6" i="2"/>
  <c r="L6" i="2"/>
  <c r="K5" i="2"/>
  <c r="L5" i="2"/>
  <c r="K4" i="2"/>
  <c r="L4" i="2"/>
  <c r="F4" i="3"/>
  <c r="G4" i="3"/>
  <c r="M4" i="3" s="1"/>
  <c r="H4" i="3"/>
  <c r="I4" i="3"/>
  <c r="F5" i="3"/>
  <c r="G5" i="3"/>
  <c r="M5" i="3" s="1"/>
  <c r="H5" i="3"/>
  <c r="I5" i="3"/>
  <c r="F6" i="3"/>
  <c r="G6" i="3"/>
  <c r="M6" i="3" s="1"/>
  <c r="H6" i="3"/>
  <c r="I6" i="3"/>
  <c r="F7" i="3"/>
  <c r="G7" i="3"/>
  <c r="M7" i="3" s="1"/>
  <c r="H7" i="3"/>
  <c r="I7" i="3"/>
  <c r="F8" i="3"/>
  <c r="G8" i="3"/>
  <c r="M8" i="3" s="1"/>
  <c r="H8" i="3"/>
  <c r="I8" i="3"/>
  <c r="F9" i="3"/>
  <c r="G9" i="3"/>
  <c r="M9" i="3" s="1"/>
  <c r="H9" i="3"/>
  <c r="I9" i="3"/>
  <c r="F10" i="3"/>
  <c r="G10" i="3"/>
  <c r="M10" i="3" s="1"/>
  <c r="H10" i="3"/>
  <c r="I10" i="3"/>
  <c r="F11" i="3"/>
  <c r="G11" i="3"/>
  <c r="M11" i="3" s="1"/>
  <c r="H11" i="3"/>
  <c r="I11" i="3"/>
  <c r="F12" i="3"/>
  <c r="G12" i="3"/>
  <c r="M12" i="3" s="1"/>
  <c r="H12" i="3"/>
  <c r="I12" i="3"/>
  <c r="F13" i="3"/>
  <c r="G13" i="3"/>
  <c r="M13" i="3" s="1"/>
  <c r="H13" i="3"/>
  <c r="I13" i="3"/>
  <c r="F14" i="3"/>
  <c r="G14" i="3"/>
  <c r="M14" i="3" s="1"/>
  <c r="H14" i="3"/>
  <c r="I14" i="3"/>
  <c r="I3" i="3"/>
  <c r="H3" i="3"/>
  <c r="G3" i="3"/>
  <c r="M3" i="3" s="1"/>
  <c r="F3" i="3"/>
  <c r="E4" i="3"/>
  <c r="E5" i="3"/>
  <c r="E6" i="3"/>
  <c r="E7" i="3"/>
  <c r="E8" i="3"/>
  <c r="E9" i="3"/>
  <c r="E10" i="3"/>
  <c r="E11" i="3"/>
  <c r="E12" i="3"/>
  <c r="E13" i="3"/>
  <c r="E14" i="3"/>
  <c r="E3" i="3"/>
  <c r="B4" i="3"/>
  <c r="C4" i="3"/>
  <c r="D4" i="3"/>
  <c r="B5" i="3"/>
  <c r="C5" i="3"/>
  <c r="D5" i="3"/>
  <c r="B6" i="3"/>
  <c r="C6" i="3"/>
  <c r="D6" i="3"/>
  <c r="B7" i="3"/>
  <c r="C7" i="3"/>
  <c r="D7" i="3"/>
  <c r="B8" i="3"/>
  <c r="C8" i="3"/>
  <c r="D8" i="3"/>
  <c r="B9" i="3"/>
  <c r="C9" i="3"/>
  <c r="D9" i="3"/>
  <c r="B10" i="3"/>
  <c r="C10" i="3"/>
  <c r="D10" i="3"/>
  <c r="B11" i="3"/>
  <c r="C11" i="3"/>
  <c r="D11" i="3"/>
  <c r="B12" i="3"/>
  <c r="C12" i="3"/>
  <c r="D12" i="3"/>
  <c r="B13" i="3"/>
  <c r="C13" i="3"/>
  <c r="D13" i="3"/>
  <c r="B14" i="3"/>
  <c r="C14" i="3"/>
  <c r="D14" i="3"/>
  <c r="D3" i="3"/>
  <c r="C3" i="3"/>
  <c r="B3" i="3"/>
  <c r="A14" i="3"/>
  <c r="A13" i="3"/>
  <c r="A12" i="3"/>
  <c r="A11" i="3"/>
  <c r="A10" i="3"/>
  <c r="A9" i="3"/>
  <c r="A8" i="3"/>
  <c r="A7" i="3"/>
  <c r="A6" i="3"/>
  <c r="A5" i="3"/>
  <c r="A4" i="3"/>
  <c r="A3" i="3"/>
  <c r="K7" i="2"/>
  <c r="L7" i="2"/>
  <c r="K14" i="2"/>
  <c r="L14" i="2"/>
  <c r="K16" i="2"/>
  <c r="L16" i="2"/>
  <c r="K12" i="2"/>
  <c r="L12" i="2"/>
  <c r="K9" i="2"/>
  <c r="L9" i="2"/>
  <c r="K8" i="2"/>
  <c r="L8" i="2"/>
  <c r="K18" i="2"/>
  <c r="L18" i="2"/>
  <c r="K10" i="2"/>
  <c r="L10" i="2"/>
  <c r="K11" i="2"/>
  <c r="L11" i="2"/>
  <c r="K17" i="2"/>
  <c r="L17" i="2"/>
  <c r="K13" i="2"/>
  <c r="L13" i="2"/>
  <c r="K15" i="2"/>
  <c r="L15" i="2"/>
  <c r="K8" i="1"/>
  <c r="L8" i="1"/>
  <c r="M8" i="1"/>
  <c r="N8" i="1"/>
  <c r="K7" i="1"/>
  <c r="L7" i="1"/>
  <c r="M7" i="1"/>
  <c r="N7" i="1"/>
  <c r="K12" i="1"/>
  <c r="L12" i="1"/>
  <c r="M12" i="1"/>
  <c r="N12" i="1"/>
  <c r="K11" i="1"/>
  <c r="L11" i="1"/>
  <c r="M11" i="1"/>
  <c r="N11" i="1"/>
  <c r="K10" i="1"/>
  <c r="L10" i="1"/>
  <c r="M10" i="1"/>
  <c r="N10" i="1"/>
  <c r="K15" i="1"/>
  <c r="L15" i="1"/>
  <c r="M15" i="1"/>
  <c r="N15" i="1"/>
  <c r="K14" i="1"/>
  <c r="L14" i="1"/>
  <c r="M14" i="1"/>
  <c r="N14" i="1"/>
  <c r="K13" i="1"/>
  <c r="L13" i="1"/>
  <c r="M13" i="1"/>
  <c r="N13" i="1"/>
  <c r="K18" i="1"/>
  <c r="L18" i="1"/>
  <c r="K19" i="3" s="1"/>
  <c r="M18" i="1"/>
  <c r="N18" i="1"/>
  <c r="K17" i="1"/>
  <c r="L17" i="1"/>
  <c r="M17" i="1"/>
  <c r="N17" i="1"/>
  <c r="K16" i="1"/>
  <c r="L16" i="1"/>
  <c r="M16" i="1"/>
  <c r="N16" i="1"/>
  <c r="N9" i="1"/>
  <c r="M9" i="1"/>
  <c r="L9" i="1"/>
  <c r="K9" i="1"/>
  <c r="J93" i="2" l="1"/>
  <c r="L15" i="3"/>
  <c r="J89" i="2"/>
  <c r="J81" i="2"/>
  <c r="L11" i="3"/>
  <c r="L13" i="3"/>
  <c r="L9" i="3"/>
  <c r="L10" i="3"/>
  <c r="K17" i="3"/>
  <c r="J19" i="3"/>
  <c r="L19" i="3"/>
  <c r="L5" i="3"/>
  <c r="J15" i="3"/>
  <c r="L7" i="3"/>
  <c r="L4" i="3"/>
  <c r="J14" i="3"/>
  <c r="L17" i="3"/>
  <c r="L16" i="3"/>
  <c r="L8" i="3"/>
  <c r="L18" i="3"/>
  <c r="L12" i="3"/>
  <c r="J11" i="3"/>
  <c r="L14" i="3"/>
  <c r="L6" i="3"/>
  <c r="L3" i="3"/>
  <c r="J13" i="3"/>
  <c r="K13" i="3"/>
  <c r="K15" i="3"/>
  <c r="K7" i="3"/>
  <c r="K16" i="3"/>
  <c r="J16" i="3"/>
  <c r="K14" i="3"/>
  <c r="J94" i="2"/>
  <c r="J86" i="2"/>
  <c r="J79" i="2"/>
  <c r="J88" i="2"/>
  <c r="J80" i="2"/>
  <c r="J95" i="2"/>
  <c r="J87" i="2"/>
  <c r="J85" i="2"/>
  <c r="J92" i="2"/>
  <c r="J84" i="2"/>
  <c r="J7" i="3"/>
  <c r="K18" i="3"/>
  <c r="J18" i="3"/>
  <c r="K11" i="3"/>
  <c r="J17" i="3"/>
  <c r="K3" i="3"/>
  <c r="J9" i="3"/>
  <c r="K9" i="3"/>
  <c r="K12" i="3"/>
  <c r="J12" i="3"/>
  <c r="J3" i="3"/>
  <c r="J5" i="3"/>
  <c r="K10" i="3"/>
  <c r="K8" i="3"/>
  <c r="K6" i="3"/>
  <c r="K4" i="3"/>
  <c r="J8" i="3"/>
  <c r="J6" i="3"/>
  <c r="J4" i="3"/>
  <c r="J10" i="3"/>
  <c r="K5" i="3"/>
  <c r="L21" i="3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<sst xmlns="http://schemas.openxmlformats.org/spreadsheetml/2006/main" count="137" uniqueCount="50">
  <si>
    <t>N</t>
  </si>
  <si>
    <t>L</t>
  </si>
  <si>
    <t>inc</t>
  </si>
  <si>
    <t>t</t>
  </si>
  <si>
    <t>avg_time</t>
  </si>
  <si>
    <t>MLFMA_time</t>
  </si>
  <si>
    <t>nearFieldTime</t>
  </si>
  <si>
    <t>farFieldTime</t>
  </si>
  <si>
    <t>transferTime</t>
  </si>
  <si>
    <t>computationTime</t>
  </si>
  <si>
    <t>share NearField</t>
  </si>
  <si>
    <t>share FarField</t>
  </si>
  <si>
    <t>share transfer</t>
  </si>
  <si>
    <t>share computation</t>
  </si>
  <si>
    <t>ERR X formula</t>
  </si>
  <si>
    <t>X</t>
  </si>
  <si>
    <t>time</t>
  </si>
  <si>
    <t>test</t>
  </si>
  <si>
    <t>Sort based on t</t>
  </si>
  <si>
    <t>Log FF</t>
  </si>
  <si>
    <t>aLog(N)-bLog(t)+c</t>
  </si>
  <si>
    <t>Log NF</t>
  </si>
  <si>
    <t>pred share</t>
  </si>
  <si>
    <t>share NF</t>
  </si>
  <si>
    <t>aLog(t,4)+b</t>
  </si>
  <si>
    <t>modeling share NF</t>
  </si>
  <si>
    <t>modeling untime based on level</t>
  </si>
  <si>
    <t>log(time) = aLog(N)-bLog(t)-c</t>
  </si>
  <si>
    <t>other time</t>
  </si>
  <si>
    <t>a/N+bLog(t)+c</t>
  </si>
  <si>
    <t>Model 1</t>
  </si>
  <si>
    <t>Shaer Transfer</t>
  </si>
  <si>
    <t>Share Computation</t>
  </si>
  <si>
    <t>RMSE</t>
  </si>
  <si>
    <t>modeling Shaer NF</t>
  </si>
  <si>
    <t>modeling computation time</t>
  </si>
  <si>
    <t>modeling Transfer time</t>
  </si>
  <si>
    <t>Box</t>
  </si>
  <si>
    <t>Data Size (KB)</t>
  </si>
  <si>
    <t>Share Transfer</t>
  </si>
  <si>
    <t>RMSE %</t>
  </si>
  <si>
    <t>box</t>
  </si>
  <si>
    <t>speedup to base level non-redundant</t>
  </si>
  <si>
    <t>MLFMA</t>
  </si>
  <si>
    <t>Computation</t>
  </si>
  <si>
    <t>for plot</t>
  </si>
  <si>
    <t>in less dense tree, MLFMA is faster</t>
  </si>
  <si>
    <t>redundancy is faster in less dense trees, alittle faster than non-redundant</t>
  </si>
  <si>
    <t>redundancy is fast in large problems, but the peak point is not clear</t>
  </si>
  <si>
    <t>Model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</si>
</sst>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B05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0" xfId="0" applyBorder="1"/>
    <xf numFmtId="0" fontId="0" fillId="0" borderId="9" xfId="0" applyBorder="1"/>
    <xf numFmtId="0" fontId="1" fillId="0" borderId="0" xfId="0" applyFont="1"/>
    <xf numFmtId="0" fontId="0" fillId="6" borderId="0" xfId="0" applyFill="1"/>
    <xf numFmtId="2" fontId="0" fillId="0" borderId="0" xfId="0" applyNumberFormat="1"/>
    <xf numFmtId="2" fontId="1" fillId="0" borderId="0" xfId="0" applyNumberFormat="1" applyFont="1"/>
    <xf numFmtId="0" fontId="2" fillId="0" borderId="0" xfId="0" applyFont="1"/>
    <xf numFmtId="0" fontId="0" fillId="5" borderId="0" xfId="0" applyFill="1" applyAlignment="1">
      <alignment horizontal="center"/>
    </xf>
    <xf numFmtId="0" fontId="0" fillId="0" borderId="1" xfId="0" applyBorder="1" applyAlignment="1">
      <alignment horizontal="center"/>
    </xf>
    <xf numFmtId="0" fontId="0" fillId="6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non_redundnat!$K$25</c:f>
              <c:strCache>
                <c:ptCount val="1"/>
                <c:pt idx="0">
                  <c:v>share NearField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non_redundnat!$K$26:$K$42</c:f>
              <c:numCache>
                <c:formatCode>General</c:formatCode>
                <c:ptCount val="17"/>
                <c:pt idx="0">
                  <c:v>0.2</c:v>
                </c:pt>
                <c:pt idx="1">
                  <c:v>0.18</c:v>
                </c:pt>
                <c:pt idx="2">
                  <c:v>0.16</c:v>
                </c:pt>
                <c:pt idx="3">
                  <c:v>0.15</c:v>
                </c:pt>
                <c:pt idx="4">
                  <c:v>0.15</c:v>
                </c:pt>
                <c:pt idx="5">
                  <c:v>0.15</c:v>
                </c:pt>
                <c:pt idx="6">
                  <c:v>0.56000000000000005</c:v>
                </c:pt>
                <c:pt idx="7">
                  <c:v>0.6</c:v>
                </c:pt>
                <c:pt idx="8">
                  <c:v>0.59</c:v>
                </c:pt>
                <c:pt idx="9">
                  <c:v>0.59</c:v>
                </c:pt>
                <c:pt idx="10">
                  <c:v>0.57999999999999996</c:v>
                </c:pt>
                <c:pt idx="11">
                  <c:v>0.59</c:v>
                </c:pt>
                <c:pt idx="12">
                  <c:v>0.86</c:v>
                </c:pt>
                <c:pt idx="13">
                  <c:v>0.88</c:v>
                </c:pt>
                <c:pt idx="14">
                  <c:v>0.88</c:v>
                </c:pt>
                <c:pt idx="15">
                  <c:v>0.88</c:v>
                </c:pt>
                <c:pt idx="16">
                  <c:v>0.89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650-458E-AE67-7B9098AC9D32}"/>
            </c:ext>
          </c:extLst>
        </c:ser>
        <c:ser>
          <c:idx val="1"/>
          <c:order val="1"/>
          <c:tx>
            <c:strRef>
              <c:f>non_redundnat!$L$25</c:f>
              <c:strCache>
                <c:ptCount val="1"/>
                <c:pt idx="0">
                  <c:v>share FarField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non_redundnat!$L$26:$L$42</c:f>
              <c:numCache>
                <c:formatCode>General</c:formatCode>
                <c:ptCount val="17"/>
                <c:pt idx="0">
                  <c:v>0.73</c:v>
                </c:pt>
                <c:pt idx="1">
                  <c:v>0.79</c:v>
                </c:pt>
                <c:pt idx="2">
                  <c:v>0.83</c:v>
                </c:pt>
                <c:pt idx="3">
                  <c:v>0.84</c:v>
                </c:pt>
                <c:pt idx="4">
                  <c:v>0.85</c:v>
                </c:pt>
                <c:pt idx="5">
                  <c:v>0.85</c:v>
                </c:pt>
                <c:pt idx="6">
                  <c:v>0.36</c:v>
                </c:pt>
                <c:pt idx="7">
                  <c:v>0.36</c:v>
                </c:pt>
                <c:pt idx="8">
                  <c:v>0.4</c:v>
                </c:pt>
                <c:pt idx="9">
                  <c:v>0.41</c:v>
                </c:pt>
                <c:pt idx="10">
                  <c:v>0.42</c:v>
                </c:pt>
                <c:pt idx="11">
                  <c:v>0.41</c:v>
                </c:pt>
                <c:pt idx="12">
                  <c:v>0.12</c:v>
                </c:pt>
                <c:pt idx="13">
                  <c:v>0.12</c:v>
                </c:pt>
                <c:pt idx="14">
                  <c:v>0.11</c:v>
                </c:pt>
                <c:pt idx="15">
                  <c:v>0.12</c:v>
                </c:pt>
                <c:pt idx="16">
                  <c:v>0.11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650-458E-AE67-7B9098AC9D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1862336"/>
        <c:axId val="81853600"/>
      </c:barChart>
      <c:catAx>
        <c:axId val="8186233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853600"/>
        <c:crosses val="autoZero"/>
        <c:auto val="1"/>
        <c:lblAlgn val="ctr"/>
        <c:lblOffset val="100"/>
        <c:noMultiLvlLbl val="0"/>
      </c:catAx>
      <c:valAx>
        <c:axId val="81853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8623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non_redundnat!$K$25</c:f>
              <c:strCache>
                <c:ptCount val="1"/>
                <c:pt idx="0">
                  <c:v>share NearField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non_redundnat!$K$26:$K$42</c:f>
              <c:numCache>
                <c:formatCode>General</c:formatCode>
                <c:ptCount val="17"/>
                <c:pt idx="0">
                  <c:v>0.2</c:v>
                </c:pt>
                <c:pt idx="1">
                  <c:v>0.18</c:v>
                </c:pt>
                <c:pt idx="2">
                  <c:v>0.16</c:v>
                </c:pt>
                <c:pt idx="3">
                  <c:v>0.15</c:v>
                </c:pt>
                <c:pt idx="4">
                  <c:v>0.15</c:v>
                </c:pt>
                <c:pt idx="5">
                  <c:v>0.15</c:v>
                </c:pt>
                <c:pt idx="6">
                  <c:v>0.56000000000000005</c:v>
                </c:pt>
                <c:pt idx="7">
                  <c:v>0.6</c:v>
                </c:pt>
                <c:pt idx="8">
                  <c:v>0.59</c:v>
                </c:pt>
                <c:pt idx="9">
                  <c:v>0.59</c:v>
                </c:pt>
                <c:pt idx="10">
                  <c:v>0.57999999999999996</c:v>
                </c:pt>
                <c:pt idx="11">
                  <c:v>0.59</c:v>
                </c:pt>
                <c:pt idx="12">
                  <c:v>0.86</c:v>
                </c:pt>
                <c:pt idx="13">
                  <c:v>0.88</c:v>
                </c:pt>
                <c:pt idx="14">
                  <c:v>0.88</c:v>
                </c:pt>
                <c:pt idx="15">
                  <c:v>0.88</c:v>
                </c:pt>
                <c:pt idx="16">
                  <c:v>0.89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2B1-4021-9749-95626D1BBE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92143920"/>
        <c:axId val="2092154320"/>
      </c:lineChart>
      <c:catAx>
        <c:axId val="209214392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2154320"/>
        <c:crosses val="autoZero"/>
        <c:auto val="1"/>
        <c:lblAlgn val="ctr"/>
        <c:lblOffset val="100"/>
        <c:noMultiLvlLbl val="0"/>
      </c:catAx>
      <c:valAx>
        <c:axId val="2092154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21439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Share NF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non_redundnat!$K$25</c:f>
              <c:strCache>
                <c:ptCount val="1"/>
                <c:pt idx="0">
                  <c:v>share NearField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non_redundnat!$K$26:$K$42</c:f>
              <c:numCache>
                <c:formatCode>General</c:formatCode>
                <c:ptCount val="17"/>
                <c:pt idx="0">
                  <c:v>0.2</c:v>
                </c:pt>
                <c:pt idx="1">
                  <c:v>0.18</c:v>
                </c:pt>
                <c:pt idx="2">
                  <c:v>0.16</c:v>
                </c:pt>
                <c:pt idx="3">
                  <c:v>0.15</c:v>
                </c:pt>
                <c:pt idx="4">
                  <c:v>0.15</c:v>
                </c:pt>
                <c:pt idx="5">
                  <c:v>0.15</c:v>
                </c:pt>
                <c:pt idx="6">
                  <c:v>0.56000000000000005</c:v>
                </c:pt>
                <c:pt idx="7">
                  <c:v>0.6</c:v>
                </c:pt>
                <c:pt idx="8">
                  <c:v>0.59</c:v>
                </c:pt>
                <c:pt idx="9">
                  <c:v>0.59</c:v>
                </c:pt>
                <c:pt idx="10">
                  <c:v>0.57999999999999996</c:v>
                </c:pt>
                <c:pt idx="11">
                  <c:v>0.59</c:v>
                </c:pt>
                <c:pt idx="12">
                  <c:v>0.86</c:v>
                </c:pt>
                <c:pt idx="13">
                  <c:v>0.88</c:v>
                </c:pt>
                <c:pt idx="14">
                  <c:v>0.88</c:v>
                </c:pt>
                <c:pt idx="15">
                  <c:v>0.88</c:v>
                </c:pt>
                <c:pt idx="16">
                  <c:v>0.89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989-4E5F-BDE1-6C0C47A1D807}"/>
            </c:ext>
          </c:extLst>
        </c:ser>
        <c:ser>
          <c:idx val="1"/>
          <c:order val="1"/>
          <c:tx>
            <c:strRef>
              <c:f>non_redundnat!#REF!</c:f>
              <c:strCache>
                <c:ptCount val="1"/>
                <c:pt idx="0">
                  <c:v>#REF!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non_redundnat!$M$26:$M$42</c:f>
              <c:numCache>
                <c:formatCode>General</c:formatCode>
                <c:ptCount val="17"/>
                <c:pt idx="0">
                  <c:v>0.19999999999999996</c:v>
                </c:pt>
                <c:pt idx="1">
                  <c:v>0.19999999999999996</c:v>
                </c:pt>
                <c:pt idx="2">
                  <c:v>0.19999999999999996</c:v>
                </c:pt>
                <c:pt idx="3">
                  <c:v>0.19999999999999996</c:v>
                </c:pt>
                <c:pt idx="4">
                  <c:v>0.19999999999999996</c:v>
                </c:pt>
                <c:pt idx="5">
                  <c:v>0.19999999999999996</c:v>
                </c:pt>
                <c:pt idx="6">
                  <c:v>0.54999999999999982</c:v>
                </c:pt>
                <c:pt idx="7">
                  <c:v>0.54999999999999982</c:v>
                </c:pt>
                <c:pt idx="8">
                  <c:v>0.54999999999999982</c:v>
                </c:pt>
                <c:pt idx="9">
                  <c:v>0.54999999999999982</c:v>
                </c:pt>
                <c:pt idx="10">
                  <c:v>0.54999999999999982</c:v>
                </c:pt>
                <c:pt idx="11">
                  <c:v>0.54999999999999982</c:v>
                </c:pt>
                <c:pt idx="12">
                  <c:v>0.89999999999999991</c:v>
                </c:pt>
                <c:pt idx="13">
                  <c:v>0.89999999999999991</c:v>
                </c:pt>
                <c:pt idx="14">
                  <c:v>0.89999999999999991</c:v>
                </c:pt>
                <c:pt idx="15">
                  <c:v>0.89999999999999991</c:v>
                </c:pt>
                <c:pt idx="16">
                  <c:v>0.89999999999999991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989-4E5F-BDE1-6C0C47A1D8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1863584"/>
        <c:axId val="81851936"/>
      </c:lineChart>
      <c:catAx>
        <c:axId val="8186358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851936"/>
        <c:crosses val="autoZero"/>
        <c:auto val="1"/>
        <c:lblAlgn val="ctr"/>
        <c:lblOffset val="100"/>
        <c:noMultiLvlLbl val="0"/>
      </c:catAx>
      <c:valAx>
        <c:axId val="81851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8635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275958878321083"/>
          <c:y val="5.0925925925925923E-2"/>
          <c:w val="0.68051222027599978"/>
          <c:h val="0.82775444736074655"/>
        </c:manualLayout>
      </c:layout>
      <c:scatterChart>
        <c:scatterStyle val="lineMarker"/>
        <c:varyColors val="0"/>
        <c:ser>
          <c:idx val="0"/>
          <c:order val="0"/>
          <c:tx>
            <c:v>t=16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non_redundnat!$A$26:$A$31</c:f>
              <c:numCache>
                <c:formatCode>General</c:formatCode>
                <c:ptCount val="6"/>
                <c:pt idx="0">
                  <c:v>16384</c:v>
                </c:pt>
                <c:pt idx="1">
                  <c:v>65536</c:v>
                </c:pt>
                <c:pt idx="2">
                  <c:v>262144</c:v>
                </c:pt>
                <c:pt idx="3">
                  <c:v>1048576</c:v>
                </c:pt>
                <c:pt idx="4">
                  <c:v>4194304</c:v>
                </c:pt>
                <c:pt idx="5">
                  <c:v>16777216</c:v>
                </c:pt>
              </c:numCache>
            </c:numRef>
          </c:xVal>
          <c:yVal>
            <c:numRef>
              <c:f>non_redundnat!$G$26:$G$31</c:f>
              <c:numCache>
                <c:formatCode>General</c:formatCode>
                <c:ptCount val="6"/>
                <c:pt idx="0">
                  <c:v>2.1000000000000001E-4</c:v>
                </c:pt>
                <c:pt idx="1">
                  <c:v>6.6799999999999997E-4</c:v>
                </c:pt>
                <c:pt idx="2">
                  <c:v>2.2100000000000002E-3</c:v>
                </c:pt>
                <c:pt idx="3">
                  <c:v>8.548E-3</c:v>
                </c:pt>
                <c:pt idx="4">
                  <c:v>3.3181000000000002E-2</c:v>
                </c:pt>
                <c:pt idx="5">
                  <c:v>0.13195399999999999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50C-4B77-AF68-FC823273D3E2}"/>
            </c:ext>
          </c:extLst>
        </c:ser>
        <c:ser>
          <c:idx val="1"/>
          <c:order val="1"/>
          <c:tx>
            <c:strRef>
              <c:f>non_redundnat!$D$32</c:f>
              <c:strCache>
                <c:ptCount val="1"/>
                <c:pt idx="0">
                  <c:v>64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non_redundnat!$A$32:$A$37</c:f>
              <c:numCache>
                <c:formatCode>General</c:formatCode>
                <c:ptCount val="6"/>
                <c:pt idx="0">
                  <c:v>16384</c:v>
                </c:pt>
                <c:pt idx="1">
                  <c:v>65536</c:v>
                </c:pt>
                <c:pt idx="2">
                  <c:v>262144</c:v>
                </c:pt>
                <c:pt idx="3">
                  <c:v>1048576</c:v>
                </c:pt>
                <c:pt idx="4">
                  <c:v>4194304</c:v>
                </c:pt>
                <c:pt idx="5">
                  <c:v>16777216</c:v>
                </c:pt>
              </c:numCache>
            </c:numRef>
          </c:xVal>
          <c:yVal>
            <c:numRef>
              <c:f>non_redundnat!$G$32:$G$37</c:f>
              <c:numCache>
                <c:formatCode>General</c:formatCode>
                <c:ptCount val="6"/>
                <c:pt idx="0">
                  <c:v>5.8E-4</c:v>
                </c:pt>
                <c:pt idx="1">
                  <c:v>2.4780000000000002E-3</c:v>
                </c:pt>
                <c:pt idx="2">
                  <c:v>9.443E-3</c:v>
                </c:pt>
                <c:pt idx="3">
                  <c:v>3.3030999999999998E-2</c:v>
                </c:pt>
                <c:pt idx="4">
                  <c:v>0.13181899999999999</c:v>
                </c:pt>
                <c:pt idx="5">
                  <c:v>0.52655700000000005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50C-4B77-AF68-FC823273D3E2}"/>
            </c:ext>
          </c:extLst>
        </c:ser>
        <c:ser>
          <c:idx val="2"/>
          <c:order val="2"/>
          <c:tx>
            <c:strRef>
              <c:f>non_redundnat!$D$38</c:f>
              <c:strCache>
                <c:ptCount val="1"/>
                <c:pt idx="0">
                  <c:v>256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non_redundnat!$A$38:$A$42</c:f>
              <c:numCache>
                <c:formatCode>General</c:formatCode>
                <c:ptCount val="5"/>
                <c:pt idx="0">
                  <c:v>65536</c:v>
                </c:pt>
                <c:pt idx="1">
                  <c:v>262144</c:v>
                </c:pt>
                <c:pt idx="2">
                  <c:v>1048576</c:v>
                </c:pt>
                <c:pt idx="3">
                  <c:v>4194304</c:v>
                </c:pt>
                <c:pt idx="4">
                  <c:v>16777216</c:v>
                </c:pt>
              </c:numCache>
            </c:numRef>
          </c:xVal>
          <c:yVal>
            <c:numRef>
              <c:f>non_redundnat!$G$38:$G$42</c:f>
              <c:numCache>
                <c:formatCode>General</c:formatCode>
                <c:ptCount val="5"/>
                <c:pt idx="0">
                  <c:v>9.9439999999999997E-3</c:v>
                </c:pt>
                <c:pt idx="1">
                  <c:v>3.4377999999999999E-2</c:v>
                </c:pt>
                <c:pt idx="2">
                  <c:v>0.13211600000000001</c:v>
                </c:pt>
                <c:pt idx="3">
                  <c:v>0.53128799999999998</c:v>
                </c:pt>
                <c:pt idx="4">
                  <c:v>2.1346289999999999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50C-4B77-AF68-FC823273D3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9595776"/>
        <c:axId val="179574560"/>
      </c:scatterChart>
      <c:valAx>
        <c:axId val="179595776"/>
        <c:scaling>
          <c:logBase val="10"/>
          <c:orientation val="minMax"/>
          <c:min val="10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Log(N)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574560"/>
        <c:crosses val="autoZero"/>
        <c:crossBetween val="midCat"/>
      </c:valAx>
      <c:valAx>
        <c:axId val="179574560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Log(NearField</a:t>
                </a:r>
                <a:r>
                  <a:rPr lang="en-US" baseline="0"/>
                  <a:t> Time)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59577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4785115218186082"/>
          <c:y val="0.63281167979002628"/>
          <c:w val="0.16152127293859578"/>
          <c:h val="0.2343766404199475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1347741106829732"/>
          <c:y val="5.0925925925925923E-2"/>
          <c:w val="0.7005651421231921"/>
          <c:h val="0.82775444736074655"/>
        </c:manualLayout>
      </c:layout>
      <c:scatterChart>
        <c:scatterStyle val="lineMarker"/>
        <c:varyColors val="0"/>
        <c:ser>
          <c:idx val="0"/>
          <c:order val="0"/>
          <c:tx>
            <c:v>t=16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non_redundnat!$A$26:$A$31</c:f>
              <c:numCache>
                <c:formatCode>General</c:formatCode>
                <c:ptCount val="6"/>
                <c:pt idx="0">
                  <c:v>16384</c:v>
                </c:pt>
                <c:pt idx="1">
                  <c:v>65536</c:v>
                </c:pt>
                <c:pt idx="2">
                  <c:v>262144</c:v>
                </c:pt>
                <c:pt idx="3">
                  <c:v>1048576</c:v>
                </c:pt>
                <c:pt idx="4">
                  <c:v>4194304</c:v>
                </c:pt>
                <c:pt idx="5">
                  <c:v>16777216</c:v>
                </c:pt>
              </c:numCache>
            </c:numRef>
          </c:xVal>
          <c:yVal>
            <c:numRef>
              <c:f>non_redundnat!$H$26:$H$31</c:f>
              <c:numCache>
                <c:formatCode>General</c:formatCode>
                <c:ptCount val="6"/>
                <c:pt idx="0">
                  <c:v>7.8399999999999997E-4</c:v>
                </c:pt>
                <c:pt idx="1">
                  <c:v>2.9459999999999998E-3</c:v>
                </c:pt>
                <c:pt idx="2">
                  <c:v>1.1535999999999999E-2</c:v>
                </c:pt>
                <c:pt idx="3">
                  <c:v>4.6800000000000001E-2</c:v>
                </c:pt>
                <c:pt idx="4">
                  <c:v>0.185277</c:v>
                </c:pt>
                <c:pt idx="5">
                  <c:v>0.73451999999999995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316-4ADD-92AF-FC2C01E231A0}"/>
            </c:ext>
          </c:extLst>
        </c:ser>
        <c:ser>
          <c:idx val="1"/>
          <c:order val="1"/>
          <c:tx>
            <c:strRef>
              <c:f>non_redundnat!$D$33</c:f>
              <c:strCache>
                <c:ptCount val="1"/>
                <c:pt idx="0">
                  <c:v>64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non_redundnat!$A$32:$A$37</c:f>
              <c:numCache>
                <c:formatCode>General</c:formatCode>
                <c:ptCount val="6"/>
                <c:pt idx="0">
                  <c:v>16384</c:v>
                </c:pt>
                <c:pt idx="1">
                  <c:v>65536</c:v>
                </c:pt>
                <c:pt idx="2">
                  <c:v>262144</c:v>
                </c:pt>
                <c:pt idx="3">
                  <c:v>1048576</c:v>
                </c:pt>
                <c:pt idx="4">
                  <c:v>4194304</c:v>
                </c:pt>
                <c:pt idx="5">
                  <c:v>16777216</c:v>
                </c:pt>
              </c:numCache>
            </c:numRef>
          </c:xVal>
          <c:yVal>
            <c:numRef>
              <c:f>non_redundnat!$H$32:$H$37</c:f>
              <c:numCache>
                <c:formatCode>General</c:formatCode>
                <c:ptCount val="6"/>
                <c:pt idx="0">
                  <c:v>3.6900000000000002E-4</c:v>
                </c:pt>
                <c:pt idx="1">
                  <c:v>1.4840000000000001E-3</c:v>
                </c:pt>
                <c:pt idx="2">
                  <c:v>6.4599999999999996E-3</c:v>
                </c:pt>
                <c:pt idx="3">
                  <c:v>2.2897000000000001E-2</c:v>
                </c:pt>
                <c:pt idx="4">
                  <c:v>9.3742000000000006E-2</c:v>
                </c:pt>
                <c:pt idx="5">
                  <c:v>0.36667699999999998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316-4ADD-92AF-FC2C01E231A0}"/>
            </c:ext>
          </c:extLst>
        </c:ser>
        <c:ser>
          <c:idx val="2"/>
          <c:order val="2"/>
          <c:tx>
            <c:strRef>
              <c:f>non_redundnat!$D$40</c:f>
              <c:strCache>
                <c:ptCount val="1"/>
                <c:pt idx="0">
                  <c:v>256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non_redundnat!$A$38:$A$42</c:f>
              <c:numCache>
                <c:formatCode>General</c:formatCode>
                <c:ptCount val="5"/>
                <c:pt idx="0">
                  <c:v>65536</c:v>
                </c:pt>
                <c:pt idx="1">
                  <c:v>262144</c:v>
                </c:pt>
                <c:pt idx="2">
                  <c:v>1048576</c:v>
                </c:pt>
                <c:pt idx="3">
                  <c:v>4194304</c:v>
                </c:pt>
                <c:pt idx="4">
                  <c:v>16777216</c:v>
                </c:pt>
              </c:numCache>
            </c:numRef>
          </c:xVal>
          <c:yVal>
            <c:numRef>
              <c:f>non_redundnat!$H$38:$H$42</c:f>
              <c:numCache>
                <c:formatCode>General</c:formatCode>
                <c:ptCount val="5"/>
                <c:pt idx="0">
                  <c:v>1.389E-3</c:v>
                </c:pt>
                <c:pt idx="1">
                  <c:v>4.5519999999999996E-3</c:v>
                </c:pt>
                <c:pt idx="2">
                  <c:v>1.7097000000000001E-2</c:v>
                </c:pt>
                <c:pt idx="3">
                  <c:v>7.0126999999999995E-2</c:v>
                </c:pt>
                <c:pt idx="4">
                  <c:v>0.27477200000000002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316-4ADD-92AF-FC2C01E231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50071824"/>
        <c:axId val="1950073072"/>
      </c:scatterChart>
      <c:valAx>
        <c:axId val="1950071824"/>
        <c:scaling>
          <c:logBase val="10"/>
          <c:orientation val="minMax"/>
          <c:max val="20000000"/>
          <c:min val="10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Log(N)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0073072"/>
        <c:crosses val="autoZero"/>
        <c:crossBetween val="midCat"/>
      </c:valAx>
      <c:valAx>
        <c:axId val="1950073072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Log(FarField</a:t>
                </a:r>
                <a:r>
                  <a:rPr lang="en-US" baseline="0"/>
                  <a:t> Time)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00718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4692913385826754"/>
          <c:y val="0.62355242053076698"/>
          <c:w val="0.16530155804992461"/>
          <c:h val="0.2343766404199475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FF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non_redundnat!$E$79:$E$95</c:f>
              <c:numCache>
                <c:formatCode>General</c:formatCode>
                <c:ptCount val="17"/>
                <c:pt idx="0">
                  <c:v>-3.1056839373155616</c:v>
                </c:pt>
                <c:pt idx="1">
                  <c:v>-2.5307672574933879</c:v>
                </c:pt>
                <c:pt idx="2">
                  <c:v>-1.9379447526246463</c:v>
                </c:pt>
                <c:pt idx="3">
                  <c:v>-1.329754146925876</c:v>
                </c:pt>
                <c:pt idx="4">
                  <c:v>-0.73217848997982637</c:v>
                </c:pt>
                <c:pt idx="5">
                  <c:v>-0.13399637445318777</c:v>
                </c:pt>
                <c:pt idx="6">
                  <c:v>-3.4329736338409398</c:v>
                </c:pt>
                <c:pt idx="7">
                  <c:v>-2.8285660990569919</c:v>
                </c:pt>
                <c:pt idx="8">
                  <c:v>-2.1897674820049158</c:v>
                </c:pt>
                <c:pt idx="9">
                  <c:v>-1.6402214158607615</c:v>
                </c:pt>
                <c:pt idx="10">
                  <c:v>-1.0280657849773405</c:v>
                </c:pt>
                <c:pt idx="11">
                  <c:v>-0.43571633052576941</c:v>
                </c:pt>
                <c:pt idx="12">
                  <c:v>-2.8572977542623845</c:v>
                </c:pt>
                <c:pt idx="13">
                  <c:v>-2.3417977466129853</c:v>
                </c:pt>
                <c:pt idx="14">
                  <c:v>-1.767080088306507</c:v>
                </c:pt>
                <c:pt idx="15">
                  <c:v>-1.1541147396170264</c:v>
                </c:pt>
                <c:pt idx="16">
                  <c:v>-0.56102752512432474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DB2-4980-8FA0-06DBE87D9EF4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non_redundnat!$F$79:$F$95</c:f>
              <c:numCache>
                <c:formatCode>General</c:formatCode>
                <c:ptCount val="17"/>
                <c:pt idx="0">
                  <c:v>-2.640215041192179</c:v>
                </c:pt>
                <c:pt idx="1">
                  <c:v>-2.1886700476962071</c:v>
                </c:pt>
                <c:pt idx="2">
                  <c:v>-1.7371250542002352</c:v>
                </c:pt>
                <c:pt idx="3">
                  <c:v>-1.2855800607042633</c:v>
                </c:pt>
                <c:pt idx="4">
                  <c:v>-0.83403506720829146</c:v>
                </c:pt>
                <c:pt idx="5">
                  <c:v>-0.38249007371232047</c:v>
                </c:pt>
                <c:pt idx="6">
                  <c:v>-2.7907300390241696</c:v>
                </c:pt>
                <c:pt idx="7">
                  <c:v>-2.3391850455281977</c:v>
                </c:pt>
                <c:pt idx="8">
                  <c:v>-1.8876400520322258</c:v>
                </c:pt>
                <c:pt idx="9">
                  <c:v>-1.436095058536254</c:v>
                </c:pt>
                <c:pt idx="10">
                  <c:v>-0.98455006504028209</c:v>
                </c:pt>
                <c:pt idx="11">
                  <c:v>-0.53300507154431109</c:v>
                </c:pt>
                <c:pt idx="12">
                  <c:v>-2.4897000433601884</c:v>
                </c:pt>
                <c:pt idx="13">
                  <c:v>-2.0381550498642165</c:v>
                </c:pt>
                <c:pt idx="14">
                  <c:v>-1.5866100563682446</c:v>
                </c:pt>
                <c:pt idx="15">
                  <c:v>-1.1350650628722727</c:v>
                </c:pt>
                <c:pt idx="16">
                  <c:v>-0.68352006937630172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DB2-4980-8FA0-06DBE87D9E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4544976"/>
        <c:axId val="174546224"/>
      </c:lineChart>
      <c:catAx>
        <c:axId val="17454497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46224"/>
        <c:crosses val="autoZero"/>
        <c:auto val="1"/>
        <c:lblAlgn val="ctr"/>
        <c:lblOffset val="100"/>
        <c:noMultiLvlLbl val="0"/>
      </c:catAx>
      <c:valAx>
        <c:axId val="174546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449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NF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non_redundnat!$G$78</c:f>
              <c:strCache>
                <c:ptCount val="1"/>
                <c:pt idx="0">
                  <c:v>Log NF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non_redundnat!$G$79:$G$95</c:f>
              <c:numCache>
                <c:formatCode>General</c:formatCode>
                <c:ptCount val="17"/>
                <c:pt idx="0">
                  <c:v>-3.6777807052660809</c:v>
                </c:pt>
                <c:pt idx="1">
                  <c:v>-3.1752235375244542</c:v>
                </c:pt>
                <c:pt idx="2">
                  <c:v>-2.6556077263148894</c:v>
                </c:pt>
                <c:pt idx="3">
                  <c:v>-2.0681354865079684</c:v>
                </c:pt>
                <c:pt idx="4">
                  <c:v>-1.4791105294648372</c:v>
                </c:pt>
                <c:pt idx="5">
                  <c:v>-0.87957744021772999</c:v>
                </c:pt>
                <c:pt idx="6">
                  <c:v>-3.2365720064370627</c:v>
                </c:pt>
                <c:pt idx="7">
                  <c:v>-2.6058986979599554</c:v>
                </c:pt>
                <c:pt idx="8">
                  <c:v>-2.0248900103138388</c:v>
                </c:pt>
                <c:pt idx="9">
                  <c:v>-1.4810782780219436</c:v>
                </c:pt>
                <c:pt idx="10">
                  <c:v>-0.8800219873106937</c:v>
                </c:pt>
                <c:pt idx="11">
                  <c:v>-0.27855460938720772</c:v>
                </c:pt>
                <c:pt idx="12">
                  <c:v>-2.0024388843664118</c:v>
                </c:pt>
                <c:pt idx="13">
                  <c:v>-1.4637193927516179</c:v>
                </c:pt>
                <c:pt idx="14">
                  <c:v>-0.87904458366534266</c:v>
                </c:pt>
                <c:pt idx="15">
                  <c:v>-0.27466999322378033</c:v>
                </c:pt>
                <c:pt idx="16">
                  <c:v>0.32932240523755718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681-4AF1-B895-75BE03241FCA}"/>
            </c:ext>
          </c:extLst>
        </c:ser>
        <c:ser>
          <c:idx val="1"/>
          <c:order val="1"/>
          <c:tx>
            <c:strRef>
              <c:f>non_redundnat!$H$78</c:f>
              <c:strCache>
                <c:ptCount val="1"/>
                <c:pt idx="0">
                  <c:v>aLog(N)-bLog(t)+c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non_redundnat!$H$79:$H$95</c:f>
              <c:numCache>
                <c:formatCode>General</c:formatCode>
                <c:ptCount val="17"/>
                <c:pt idx="0">
                  <c:v>-3.0381550498642165</c:v>
                </c:pt>
                <c:pt idx="1">
                  <c:v>-2.5866100563682446</c:v>
                </c:pt>
                <c:pt idx="2">
                  <c:v>-2.1350650628722727</c:v>
                </c:pt>
                <c:pt idx="3">
                  <c:v>-1.6835200693763008</c:v>
                </c:pt>
                <c:pt idx="4">
                  <c:v>-1.231975075880329</c:v>
                </c:pt>
                <c:pt idx="5">
                  <c:v>-0.78043008238435796</c:v>
                </c:pt>
                <c:pt idx="6">
                  <c:v>-2.8876400520322258</c:v>
                </c:pt>
                <c:pt idx="7">
                  <c:v>-2.436095058536254</c:v>
                </c:pt>
                <c:pt idx="8">
                  <c:v>-1.9845500650402821</c:v>
                </c:pt>
                <c:pt idx="9">
                  <c:v>-1.5330050715443102</c:v>
                </c:pt>
                <c:pt idx="10">
                  <c:v>-1.0814600780483383</c:v>
                </c:pt>
                <c:pt idx="11">
                  <c:v>-0.62991508455236733</c:v>
                </c:pt>
                <c:pt idx="12">
                  <c:v>-2.2855800607042633</c:v>
                </c:pt>
                <c:pt idx="13">
                  <c:v>-1.8340350672082915</c:v>
                </c:pt>
                <c:pt idx="14">
                  <c:v>-1.3824900737123196</c:v>
                </c:pt>
                <c:pt idx="15">
                  <c:v>-0.9309450802163477</c:v>
                </c:pt>
                <c:pt idx="16">
                  <c:v>-0.47940008672037671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681-4AF1-B895-75BE03241F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4503792"/>
        <c:axId val="174527504"/>
      </c:lineChart>
      <c:catAx>
        <c:axId val="17450379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27504"/>
        <c:crosses val="autoZero"/>
        <c:auto val="1"/>
        <c:lblAlgn val="ctr"/>
        <c:lblOffset val="100"/>
        <c:noMultiLvlLbl val="0"/>
      </c:catAx>
      <c:valAx>
        <c:axId val="174527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3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share NF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non_redundnat!$I$78</c:f>
              <c:strCache>
                <c:ptCount val="1"/>
                <c:pt idx="0">
                  <c:v>share NF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non_redundnat!$I$79:$I$95</c:f>
              <c:numCache>
                <c:formatCode>General</c:formatCode>
                <c:ptCount val="17"/>
                <c:pt idx="0">
                  <c:v>0.21126760563380281</c:v>
                </c:pt>
                <c:pt idx="1">
                  <c:v>0.18483674598782512</c:v>
                </c:pt>
                <c:pt idx="2">
                  <c:v>0.16077404335806783</c:v>
                </c:pt>
                <c:pt idx="3">
                  <c:v>0.15444099154440991</c:v>
                </c:pt>
                <c:pt idx="4">
                  <c:v>0.15188731930165067</c:v>
                </c:pt>
                <c:pt idx="5">
                  <c:v>0.15228847028300907</c:v>
                </c:pt>
                <c:pt idx="6">
                  <c:v>0.61116965226554265</c:v>
                </c:pt>
                <c:pt idx="7">
                  <c:v>0.62544169611307421</c:v>
                </c:pt>
                <c:pt idx="8">
                  <c:v>0.59378733572281961</c:v>
                </c:pt>
                <c:pt idx="9">
                  <c:v>0.59059862680589326</c:v>
                </c:pt>
                <c:pt idx="10">
                  <c:v>0.58440510549252744</c:v>
                </c:pt>
                <c:pt idx="11">
                  <c:v>0.58949502593945147</c:v>
                </c:pt>
                <c:pt idx="12">
                  <c:v>0.87743757169328518</c:v>
                </c:pt>
                <c:pt idx="13">
                  <c:v>0.88307218083740047</c:v>
                </c:pt>
                <c:pt idx="14">
                  <c:v>0.88541883079892503</c:v>
                </c:pt>
                <c:pt idx="15">
                  <c:v>0.88339665621908325</c:v>
                </c:pt>
                <c:pt idx="16">
                  <c:v>0.88595837720661685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5A0-49D0-8556-1AC011FF3487}"/>
            </c:ext>
          </c:extLst>
        </c:ser>
        <c:ser>
          <c:idx val="1"/>
          <c:order val="1"/>
          <c:tx>
            <c:strRef>
              <c:f>non_redundnat!$J$78</c:f>
              <c:strCache>
                <c:ptCount val="1"/>
                <c:pt idx="0">
                  <c:v>pred share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non_redundnat!$J$79:$J$95</c:f>
              <c:numCache>
                <c:formatCode>General</c:formatCode>
                <c:ptCount val="17"/>
                <c:pt idx="0">
                  <c:v>0.28571428571428586</c:v>
                </c:pt>
                <c:pt idx="1">
                  <c:v>0.28571428571428575</c:v>
                </c:pt>
                <c:pt idx="2">
                  <c:v>0.2857142857142857</c:v>
                </c:pt>
                <c:pt idx="3">
                  <c:v>0.2857142857142857</c:v>
                </c:pt>
                <c:pt idx="4">
                  <c:v>0.28571428571428575</c:v>
                </c:pt>
                <c:pt idx="5">
                  <c:v>0.28571428571428581</c:v>
                </c:pt>
                <c:pt idx="6">
                  <c:v>0.44444444444444464</c:v>
                </c:pt>
                <c:pt idx="7">
                  <c:v>0.44444444444444442</c:v>
                </c:pt>
                <c:pt idx="8">
                  <c:v>0.44444444444444448</c:v>
                </c:pt>
                <c:pt idx="9">
                  <c:v>0.44444444444444459</c:v>
                </c:pt>
                <c:pt idx="10">
                  <c:v>0.44444444444444459</c:v>
                </c:pt>
                <c:pt idx="11">
                  <c:v>0.44444444444444453</c:v>
                </c:pt>
                <c:pt idx="12">
                  <c:v>0.61538461538461564</c:v>
                </c:pt>
                <c:pt idx="13">
                  <c:v>0.61538461538461542</c:v>
                </c:pt>
                <c:pt idx="14">
                  <c:v>0.61538461538461553</c:v>
                </c:pt>
                <c:pt idx="15">
                  <c:v>0.61538461538461553</c:v>
                </c:pt>
                <c:pt idx="16">
                  <c:v>0.61538461538461542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5A0-49D0-8556-1AC011FF34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78026416"/>
        <c:axId val="2078022672"/>
      </c:lineChart>
      <c:catAx>
        <c:axId val="207802641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8022672"/>
        <c:crosses val="autoZero"/>
        <c:auto val="1"/>
        <c:lblAlgn val="ctr"/>
        <c:lblOffset val="100"/>
        <c:noMultiLvlLbl val="0"/>
      </c:catAx>
      <c:valAx>
        <c:axId val="2078022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80264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6978937007874015"/>
          <c:y val="5.0925925925925923E-2"/>
          <c:w val="0.76287729658792647"/>
          <c:h val="0.82775444736074655"/>
        </c:manualLayout>
      </c:layout>
      <c:scatterChart>
        <c:scatterStyle val="lineMarker"/>
        <c:varyColors val="0"/>
        <c:ser>
          <c:idx val="0"/>
          <c:order val="0"/>
          <c:tx>
            <c:v>t=16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non_redundnat!$A$26:$A$31</c:f>
              <c:numCache>
                <c:formatCode>General</c:formatCode>
                <c:ptCount val="6"/>
                <c:pt idx="0">
                  <c:v>16384</c:v>
                </c:pt>
                <c:pt idx="1">
                  <c:v>65536</c:v>
                </c:pt>
                <c:pt idx="2">
                  <c:v>262144</c:v>
                </c:pt>
                <c:pt idx="3">
                  <c:v>1048576</c:v>
                </c:pt>
                <c:pt idx="4">
                  <c:v>4194304</c:v>
                </c:pt>
                <c:pt idx="5">
                  <c:v>16777216</c:v>
                </c:pt>
              </c:numCache>
            </c:numRef>
          </c:xVal>
          <c:yVal>
            <c:numRef>
              <c:f>non_redundnat!$F$26:$F$31</c:f>
              <c:numCache>
                <c:formatCode>General</c:formatCode>
                <c:ptCount val="6"/>
                <c:pt idx="0">
                  <c:v>1.075E-3</c:v>
                </c:pt>
                <c:pt idx="1">
                  <c:v>3.7490000000000002E-3</c:v>
                </c:pt>
                <c:pt idx="2">
                  <c:v>1.3905000000000001E-2</c:v>
                </c:pt>
                <c:pt idx="3">
                  <c:v>5.5515000000000002E-2</c:v>
                </c:pt>
                <c:pt idx="4">
                  <c:v>0.21864800000000001</c:v>
                </c:pt>
                <c:pt idx="5">
                  <c:v>0.86667799999999995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491-4F7B-A767-644D6D70056B}"/>
            </c:ext>
          </c:extLst>
        </c:ser>
        <c:ser>
          <c:idx val="1"/>
          <c:order val="1"/>
          <c:tx>
            <c:strRef>
              <c:f>non_redundnat!$D$33</c:f>
              <c:strCache>
                <c:ptCount val="1"/>
                <c:pt idx="0">
                  <c:v>64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non_redundnat!$A$32:$A$37</c:f>
              <c:numCache>
                <c:formatCode>General</c:formatCode>
                <c:ptCount val="6"/>
                <c:pt idx="0">
                  <c:v>16384</c:v>
                </c:pt>
                <c:pt idx="1">
                  <c:v>65536</c:v>
                </c:pt>
                <c:pt idx="2">
                  <c:v>262144</c:v>
                </c:pt>
                <c:pt idx="3">
                  <c:v>1048576</c:v>
                </c:pt>
                <c:pt idx="4">
                  <c:v>4194304</c:v>
                </c:pt>
                <c:pt idx="5">
                  <c:v>16777216</c:v>
                </c:pt>
              </c:numCache>
            </c:numRef>
          </c:xVal>
          <c:yVal>
            <c:numRef>
              <c:f>non_redundnat!$F$32:$F$37</c:f>
              <c:numCache>
                <c:formatCode>General</c:formatCode>
                <c:ptCount val="6"/>
                <c:pt idx="0">
                  <c:v>1.036E-3</c:v>
                </c:pt>
                <c:pt idx="1">
                  <c:v>4.117E-3</c:v>
                </c:pt>
                <c:pt idx="2">
                  <c:v>1.6060999999999999E-2</c:v>
                </c:pt>
                <c:pt idx="3">
                  <c:v>5.6090000000000001E-2</c:v>
                </c:pt>
                <c:pt idx="4">
                  <c:v>0.225745</c:v>
                </c:pt>
                <c:pt idx="5">
                  <c:v>0.89343600000000001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491-4F7B-A767-644D6D70056B}"/>
            </c:ext>
          </c:extLst>
        </c:ser>
        <c:ser>
          <c:idx val="2"/>
          <c:order val="2"/>
          <c:tx>
            <c:strRef>
              <c:f>non_redundnat!$D$39</c:f>
              <c:strCache>
                <c:ptCount val="1"/>
                <c:pt idx="0">
                  <c:v>256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non_redundnat!$A$38:$A$42</c:f>
              <c:numCache>
                <c:formatCode>General</c:formatCode>
                <c:ptCount val="5"/>
                <c:pt idx="0">
                  <c:v>65536</c:v>
                </c:pt>
                <c:pt idx="1">
                  <c:v>262144</c:v>
                </c:pt>
                <c:pt idx="2">
                  <c:v>1048576</c:v>
                </c:pt>
                <c:pt idx="3">
                  <c:v>4194304</c:v>
                </c:pt>
                <c:pt idx="4">
                  <c:v>16777216</c:v>
                </c:pt>
              </c:numCache>
            </c:numRef>
          </c:xVal>
          <c:yVal>
            <c:numRef>
              <c:f>non_redundnat!$F$38:$F$42</c:f>
              <c:numCache>
                <c:formatCode>General</c:formatCode>
                <c:ptCount val="5"/>
                <c:pt idx="0">
                  <c:v>1.1505E-2</c:v>
                </c:pt>
                <c:pt idx="1">
                  <c:v>3.9104E-2</c:v>
                </c:pt>
                <c:pt idx="2">
                  <c:v>0.14938199999999999</c:v>
                </c:pt>
                <c:pt idx="3">
                  <c:v>0.60160499999999995</c:v>
                </c:pt>
                <c:pt idx="4">
                  <c:v>2.4096069999999998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491-4F7B-A767-644D6D7005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92141008"/>
        <c:axId val="2092138928"/>
      </c:scatterChart>
      <c:valAx>
        <c:axId val="2092141008"/>
        <c:scaling>
          <c:logBase val="10"/>
          <c:orientation val="minMax"/>
          <c:max val="20000000"/>
          <c:min val="10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Log(N)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2138928"/>
        <c:crosses val="autoZero"/>
        <c:crossBetween val="midCat"/>
      </c:valAx>
      <c:valAx>
        <c:axId val="2092138928"/>
        <c:scaling>
          <c:logBase val="10"/>
          <c:orientation val="minMax"/>
          <c:max val="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Log(MLFMA Time)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214100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0384711286089239"/>
          <c:y val="0.62355242053076698"/>
          <c:w val="0.16052010802368713"/>
          <c:h val="0.2350295001425657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t=16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non_redundnat!$G$25</c:f>
              <c:strCache>
                <c:ptCount val="1"/>
                <c:pt idx="0">
                  <c:v>nearFieldTime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non_redundnat!$A$26:$A$31</c:f>
              <c:numCache>
                <c:formatCode>General</c:formatCode>
                <c:ptCount val="6"/>
                <c:pt idx="0">
                  <c:v>16384</c:v>
                </c:pt>
                <c:pt idx="1">
                  <c:v>65536</c:v>
                </c:pt>
                <c:pt idx="2">
                  <c:v>262144</c:v>
                </c:pt>
                <c:pt idx="3">
                  <c:v>1048576</c:v>
                </c:pt>
                <c:pt idx="4">
                  <c:v>4194304</c:v>
                </c:pt>
                <c:pt idx="5">
                  <c:v>16777216</c:v>
                </c:pt>
              </c:numCache>
            </c:numRef>
          </c:cat>
          <c:val>
            <c:numRef>
              <c:f>non_redundnat!$G$26:$G$31</c:f>
              <c:numCache>
                <c:formatCode>General</c:formatCode>
                <c:ptCount val="6"/>
                <c:pt idx="0">
                  <c:v>2.1000000000000001E-4</c:v>
                </c:pt>
                <c:pt idx="1">
                  <c:v>6.6799999999999997E-4</c:v>
                </c:pt>
                <c:pt idx="2">
                  <c:v>2.2100000000000002E-3</c:v>
                </c:pt>
                <c:pt idx="3">
                  <c:v>8.548E-3</c:v>
                </c:pt>
                <c:pt idx="4">
                  <c:v>3.3181000000000002E-2</c:v>
                </c:pt>
                <c:pt idx="5">
                  <c:v>0.13195399999999999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60-437F-96EF-726E8CCC9411}"/>
            </c:ext>
          </c:extLst>
        </c:ser>
        <c:ser>
          <c:idx val="1"/>
          <c:order val="1"/>
          <c:tx>
            <c:strRef>
              <c:f>non_redundnat!$H$25</c:f>
              <c:strCache>
                <c:ptCount val="1"/>
                <c:pt idx="0">
                  <c:v>farFieldTime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non_redundnat!$A$26:$A$31</c:f>
              <c:numCache>
                <c:formatCode>General</c:formatCode>
                <c:ptCount val="6"/>
                <c:pt idx="0">
                  <c:v>16384</c:v>
                </c:pt>
                <c:pt idx="1">
                  <c:v>65536</c:v>
                </c:pt>
                <c:pt idx="2">
                  <c:v>262144</c:v>
                </c:pt>
                <c:pt idx="3">
                  <c:v>1048576</c:v>
                </c:pt>
                <c:pt idx="4">
                  <c:v>4194304</c:v>
                </c:pt>
                <c:pt idx="5">
                  <c:v>16777216</c:v>
                </c:pt>
              </c:numCache>
            </c:numRef>
          </c:cat>
          <c:val>
            <c:numRef>
              <c:f>non_redundnat!$H$26:$H$31</c:f>
              <c:numCache>
                <c:formatCode>General</c:formatCode>
                <c:ptCount val="6"/>
                <c:pt idx="0">
                  <c:v>7.8399999999999997E-4</c:v>
                </c:pt>
                <c:pt idx="1">
                  <c:v>2.9459999999999998E-3</c:v>
                </c:pt>
                <c:pt idx="2">
                  <c:v>1.1535999999999999E-2</c:v>
                </c:pt>
                <c:pt idx="3">
                  <c:v>4.6800000000000001E-2</c:v>
                </c:pt>
                <c:pt idx="4">
                  <c:v>0.185277</c:v>
                </c:pt>
                <c:pt idx="5">
                  <c:v>0.73451999999999995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660-437F-96EF-726E8CCC94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78033488"/>
        <c:axId val="2078024752"/>
      </c:barChart>
      <c:catAx>
        <c:axId val="20780334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8024752"/>
        <c:crosses val="autoZero"/>
        <c:auto val="1"/>
        <c:lblAlgn val="ctr"/>
        <c:lblOffset val="100"/>
        <c:noMultiLvlLbl val="0"/>
      </c:catAx>
      <c:valAx>
        <c:axId val="2078024752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8033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t=64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non_redundnat!$G$25</c:f>
              <c:strCache>
                <c:ptCount val="1"/>
                <c:pt idx="0">
                  <c:v>nearFieldTime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non_redundnat!$A$32:$A$37</c:f>
              <c:numCache>
                <c:formatCode>General</c:formatCode>
                <c:ptCount val="6"/>
                <c:pt idx="0">
                  <c:v>16384</c:v>
                </c:pt>
                <c:pt idx="1">
                  <c:v>65536</c:v>
                </c:pt>
                <c:pt idx="2">
                  <c:v>262144</c:v>
                </c:pt>
                <c:pt idx="3">
                  <c:v>1048576</c:v>
                </c:pt>
                <c:pt idx="4">
                  <c:v>4194304</c:v>
                </c:pt>
                <c:pt idx="5">
                  <c:v>16777216</c:v>
                </c:pt>
              </c:numCache>
            </c:numRef>
          </c:cat>
          <c:val>
            <c:numRef>
              <c:f>non_redundnat!$G$32:$G$37</c:f>
              <c:numCache>
                <c:formatCode>General</c:formatCode>
                <c:ptCount val="6"/>
                <c:pt idx="0">
                  <c:v>5.8E-4</c:v>
                </c:pt>
                <c:pt idx="1">
                  <c:v>2.4780000000000002E-3</c:v>
                </c:pt>
                <c:pt idx="2">
                  <c:v>9.443E-3</c:v>
                </c:pt>
                <c:pt idx="3">
                  <c:v>3.3030999999999998E-2</c:v>
                </c:pt>
                <c:pt idx="4">
                  <c:v>0.13181899999999999</c:v>
                </c:pt>
                <c:pt idx="5">
                  <c:v>0.52655700000000005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9A-45BE-872A-6038B5791A1C}"/>
            </c:ext>
          </c:extLst>
        </c:ser>
        <c:ser>
          <c:idx val="1"/>
          <c:order val="1"/>
          <c:tx>
            <c:strRef>
              <c:f>non_redundnat!$H$25</c:f>
              <c:strCache>
                <c:ptCount val="1"/>
                <c:pt idx="0">
                  <c:v>farFieldTime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non_redundnat!$A$32:$A$37</c:f>
              <c:numCache>
                <c:formatCode>General</c:formatCode>
                <c:ptCount val="6"/>
                <c:pt idx="0">
                  <c:v>16384</c:v>
                </c:pt>
                <c:pt idx="1">
                  <c:v>65536</c:v>
                </c:pt>
                <c:pt idx="2">
                  <c:v>262144</c:v>
                </c:pt>
                <c:pt idx="3">
                  <c:v>1048576</c:v>
                </c:pt>
                <c:pt idx="4">
                  <c:v>4194304</c:v>
                </c:pt>
                <c:pt idx="5">
                  <c:v>16777216</c:v>
                </c:pt>
              </c:numCache>
            </c:numRef>
          </c:cat>
          <c:val>
            <c:numRef>
              <c:f>non_redundnat!$H$32:$H$37</c:f>
              <c:numCache>
                <c:formatCode>General</c:formatCode>
                <c:ptCount val="6"/>
                <c:pt idx="0">
                  <c:v>3.6900000000000002E-4</c:v>
                </c:pt>
                <c:pt idx="1">
                  <c:v>1.4840000000000001E-3</c:v>
                </c:pt>
                <c:pt idx="2">
                  <c:v>6.4599999999999996E-3</c:v>
                </c:pt>
                <c:pt idx="3">
                  <c:v>2.2897000000000001E-2</c:v>
                </c:pt>
                <c:pt idx="4">
                  <c:v>9.3742000000000006E-2</c:v>
                </c:pt>
                <c:pt idx="5">
                  <c:v>0.36667699999999998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B9A-45BE-872A-6038B5791A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78033488"/>
        <c:axId val="2078024752"/>
      </c:barChart>
      <c:catAx>
        <c:axId val="20780334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8024752"/>
        <c:crosses val="autoZero"/>
        <c:auto val="1"/>
        <c:lblAlgn val="ctr"/>
        <c:lblOffset val="100"/>
        <c:noMultiLvlLbl val="0"/>
      </c:catAx>
      <c:valAx>
        <c:axId val="2078024752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8033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t=256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non_redundnat!$G$25</c:f>
              <c:strCache>
                <c:ptCount val="1"/>
                <c:pt idx="0">
                  <c:v>nearFieldTime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non_redundnat!$A$38:$A$42</c:f>
              <c:numCache>
                <c:formatCode>General</c:formatCode>
                <c:ptCount val="5"/>
                <c:pt idx="0">
                  <c:v>65536</c:v>
                </c:pt>
                <c:pt idx="1">
                  <c:v>262144</c:v>
                </c:pt>
                <c:pt idx="2">
                  <c:v>1048576</c:v>
                </c:pt>
                <c:pt idx="3">
                  <c:v>4194304</c:v>
                </c:pt>
                <c:pt idx="4">
                  <c:v>16777216</c:v>
                </c:pt>
              </c:numCache>
            </c:numRef>
          </c:cat>
          <c:val>
            <c:numRef>
              <c:f>non_redundnat!$G$38:$G$42</c:f>
              <c:numCache>
                <c:formatCode>General</c:formatCode>
                <c:ptCount val="5"/>
                <c:pt idx="0">
                  <c:v>9.9439999999999997E-3</c:v>
                </c:pt>
                <c:pt idx="1">
                  <c:v>3.4377999999999999E-2</c:v>
                </c:pt>
                <c:pt idx="2">
                  <c:v>0.13211600000000001</c:v>
                </c:pt>
                <c:pt idx="3">
                  <c:v>0.53128799999999998</c:v>
                </c:pt>
                <c:pt idx="4">
                  <c:v>2.1346289999999999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EA-4339-B3D6-685DBFF54076}"/>
            </c:ext>
          </c:extLst>
        </c:ser>
        <c:ser>
          <c:idx val="1"/>
          <c:order val="1"/>
          <c:tx>
            <c:strRef>
              <c:f>non_redundnat!$H$25</c:f>
              <c:strCache>
                <c:ptCount val="1"/>
                <c:pt idx="0">
                  <c:v>farFieldTime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non_redundnat!$A$38:$A$42</c:f>
              <c:numCache>
                <c:formatCode>General</c:formatCode>
                <c:ptCount val="5"/>
                <c:pt idx="0">
                  <c:v>65536</c:v>
                </c:pt>
                <c:pt idx="1">
                  <c:v>262144</c:v>
                </c:pt>
                <c:pt idx="2">
                  <c:v>1048576</c:v>
                </c:pt>
                <c:pt idx="3">
                  <c:v>4194304</c:v>
                </c:pt>
                <c:pt idx="4">
                  <c:v>16777216</c:v>
                </c:pt>
              </c:numCache>
            </c:numRef>
          </c:cat>
          <c:val>
            <c:numRef>
              <c:f>non_redundnat!$H$38:$H$42</c:f>
              <c:numCache>
                <c:formatCode>General</c:formatCode>
                <c:ptCount val="5"/>
                <c:pt idx="0">
                  <c:v>1.389E-3</c:v>
                </c:pt>
                <c:pt idx="1">
                  <c:v>4.5519999999999996E-3</c:v>
                </c:pt>
                <c:pt idx="2">
                  <c:v>1.7097000000000001E-2</c:v>
                </c:pt>
                <c:pt idx="3">
                  <c:v>7.0126999999999995E-2</c:v>
                </c:pt>
                <c:pt idx="4">
                  <c:v>0.27477200000000002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6EA-4339-B3D6-685DBFF540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78033488"/>
        <c:axId val="2078024752"/>
      </c:barChart>
      <c:catAx>
        <c:axId val="20780334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8024752"/>
        <c:crosses val="autoZero"/>
        <c:auto val="1"/>
        <c:lblAlgn val="ctr"/>
        <c:lblOffset val="100"/>
        <c:noMultiLvlLbl val="0"/>
      </c:catAx>
      <c:valAx>
        <c:axId val="2078024752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8033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Transfer</a:t>
            </a:r>
            <a:r>
              <a:rPr lang="en-US" baseline="0"/>
              <a:t> time based on N,t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ubbleChart>
        <c:varyColors val="0"/>
        <c:ser>
          <c:idx val="0"/>
          <c:order val="0"/>
          <c:tx>
            <c:strRef>
              <c:f>'redundant RF2'!$D$1</c:f>
              <c:strCache>
                <c:ptCount val="1"/>
                <c:pt idx="0">
                  <c:v>t</c:v>
                </c:pt>
              </c:strCache>
            </c:strRef>
          </c:tx>
          <c:spPr>
            <a:solidFill>
              <a:schemeClr val="accent1">
                <a:alpha val="75000"/>
              </a:schemeClr>
            </a:solidFill>
            <a:ln w="25400">
              <a:noFill/>
            </a:ln>
            <a:effectLst/>
          </c:spPr>
          <c:invertIfNegative val="0"/>
          <c:xVal>
            <c:numRef>
              <c:f>'redundant RF2'!$A$2:$A$18</c:f>
              <c:numCache>
                <c:formatCode>General</c:formatCode>
                <c:ptCount val="17"/>
                <c:pt idx="0">
                  <c:v>16384</c:v>
                </c:pt>
                <c:pt idx="1">
                  <c:v>16384</c:v>
                </c:pt>
                <c:pt idx="2">
                  <c:v>65536</c:v>
                </c:pt>
                <c:pt idx="3">
                  <c:v>65536</c:v>
                </c:pt>
                <c:pt idx="4">
                  <c:v>65536</c:v>
                </c:pt>
                <c:pt idx="5">
                  <c:v>262144</c:v>
                </c:pt>
                <c:pt idx="6">
                  <c:v>262144</c:v>
                </c:pt>
                <c:pt idx="7">
                  <c:v>262144</c:v>
                </c:pt>
                <c:pt idx="8">
                  <c:v>1048576</c:v>
                </c:pt>
                <c:pt idx="9">
                  <c:v>1048576</c:v>
                </c:pt>
                <c:pt idx="10">
                  <c:v>1048576</c:v>
                </c:pt>
                <c:pt idx="11">
                  <c:v>4194304</c:v>
                </c:pt>
                <c:pt idx="12">
                  <c:v>4194304</c:v>
                </c:pt>
                <c:pt idx="13">
                  <c:v>4194304</c:v>
                </c:pt>
                <c:pt idx="14">
                  <c:v>16777216</c:v>
                </c:pt>
                <c:pt idx="15">
                  <c:v>16777216</c:v>
                </c:pt>
                <c:pt idx="16">
                  <c:v>16777216</c:v>
                </c:pt>
              </c:numCache>
            </c:numRef>
          </c:xVal>
          <c:yVal>
            <c:numRef>
              <c:f>'redundant RF2'!$D$2:$D$18</c:f>
              <c:numCache>
                <c:formatCode>General</c:formatCode>
                <c:ptCount val="17"/>
                <c:pt idx="0">
                  <c:v>16</c:v>
                </c:pt>
                <c:pt idx="1">
                  <c:v>64</c:v>
                </c:pt>
                <c:pt idx="2">
                  <c:v>16</c:v>
                </c:pt>
                <c:pt idx="3">
                  <c:v>64</c:v>
                </c:pt>
                <c:pt idx="4">
                  <c:v>256</c:v>
                </c:pt>
                <c:pt idx="5">
                  <c:v>16</c:v>
                </c:pt>
                <c:pt idx="6">
                  <c:v>64</c:v>
                </c:pt>
                <c:pt idx="7">
                  <c:v>256</c:v>
                </c:pt>
                <c:pt idx="8">
                  <c:v>16</c:v>
                </c:pt>
                <c:pt idx="9">
                  <c:v>64</c:v>
                </c:pt>
                <c:pt idx="10">
                  <c:v>256</c:v>
                </c:pt>
                <c:pt idx="11">
                  <c:v>16</c:v>
                </c:pt>
                <c:pt idx="12">
                  <c:v>64</c:v>
                </c:pt>
                <c:pt idx="13">
                  <c:v>256</c:v>
                </c:pt>
                <c:pt idx="14">
                  <c:v>16</c:v>
                </c:pt>
                <c:pt idx="15">
                  <c:v>64</c:v>
                </c:pt>
                <c:pt idx="16">
                  <c:v>256</c:v>
                </c:pt>
              </c:numCache>
            </c:numRef>
          </c:yVal>
          <c:bubbleSize>
            <c:numRef>
              <c:f>'redundant RF2'!$I$2:$I$18</c:f>
              <c:numCache>
                <c:formatCode>General</c:formatCode>
                <c:ptCount val="17"/>
                <c:pt idx="0">
                  <c:v>1.64E-4</c:v>
                </c:pt>
                <c:pt idx="1">
                  <c:v>5.9400000000000002E-4</c:v>
                </c:pt>
                <c:pt idx="2">
                  <c:v>1.35E-4</c:v>
                </c:pt>
                <c:pt idx="3">
                  <c:v>6.1399999999999996E-4</c:v>
                </c:pt>
                <c:pt idx="4">
                  <c:v>7.8639999999999995E-3</c:v>
                </c:pt>
                <c:pt idx="5">
                  <c:v>1.34E-4</c:v>
                </c:pt>
                <c:pt idx="6">
                  <c:v>5.7899999999999998E-4</c:v>
                </c:pt>
                <c:pt idx="7">
                  <c:v>7.8849999999999996E-3</c:v>
                </c:pt>
                <c:pt idx="8">
                  <c:v>5.7300000000000005E-4</c:v>
                </c:pt>
                <c:pt idx="9">
                  <c:v>4.8129999999999996E-3</c:v>
                </c:pt>
                <c:pt idx="10">
                  <c:v>7.8530000000000006E-3</c:v>
                </c:pt>
                <c:pt idx="11">
                  <c:v>4.0999999999999999E-4</c:v>
                </c:pt>
                <c:pt idx="12">
                  <c:v>4.7920000000000003E-3</c:v>
                </c:pt>
                <c:pt idx="13">
                  <c:v>7.8429999999999993E-3</c:v>
                </c:pt>
                <c:pt idx="14">
                  <c:v>5.53E-4</c:v>
                </c:pt>
                <c:pt idx="15">
                  <c:v>4.9360000000000003E-3</c:v>
                </c:pt>
                <c:pt idx="16">
                  <c:v>7.9769999999999994E-2</c:v>
                </c:pt>
              </c:numCache>
            </c:numRef>
          </c:bubbleSize>
          <c:bubble3D val="0"/>
          <c:extLst>
            <c:ext xmlns:c16="http://schemas.microsoft.com/office/drawing/2014/chart" uri="{C3380CC4-5D6E-409C-BE32-E72D297353CC}">
              <c16:uniqueId val="{00000000-707B-49E5-B24D-364CD89A5B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bubbleScale val="100"/>
        <c:showNegBubbles val="0"/>
        <c:axId val="714355808"/>
        <c:axId val="714341248"/>
      </c:bubbleChart>
      <c:valAx>
        <c:axId val="714355808"/>
        <c:scaling>
          <c:logBase val="10"/>
          <c:orientation val="minMax"/>
          <c:max val="30000000"/>
          <c:min val="10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4341248"/>
        <c:crosses val="autoZero"/>
        <c:crossBetween val="midCat"/>
      </c:valAx>
      <c:valAx>
        <c:axId val="714341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43558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'redundant RF2'!$I$1</c:f>
              <c:strCache>
                <c:ptCount val="1"/>
                <c:pt idx="0">
                  <c:v>transferTime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'redundant RF2'!$I$2:$I$18</c:f>
              <c:numCache>
                <c:formatCode>General</c:formatCode>
                <c:ptCount val="17"/>
                <c:pt idx="0">
                  <c:v>1.64E-4</c:v>
                </c:pt>
                <c:pt idx="1">
                  <c:v>5.9400000000000002E-4</c:v>
                </c:pt>
                <c:pt idx="2">
                  <c:v>1.35E-4</c:v>
                </c:pt>
                <c:pt idx="3">
                  <c:v>6.1399999999999996E-4</c:v>
                </c:pt>
                <c:pt idx="4">
                  <c:v>7.8639999999999995E-3</c:v>
                </c:pt>
                <c:pt idx="5">
                  <c:v>1.34E-4</c:v>
                </c:pt>
                <c:pt idx="6">
                  <c:v>5.7899999999999998E-4</c:v>
                </c:pt>
                <c:pt idx="7">
                  <c:v>7.8849999999999996E-3</c:v>
                </c:pt>
                <c:pt idx="8">
                  <c:v>5.7300000000000005E-4</c:v>
                </c:pt>
                <c:pt idx="9">
                  <c:v>4.8129999999999996E-3</c:v>
                </c:pt>
                <c:pt idx="10">
                  <c:v>7.8530000000000006E-3</c:v>
                </c:pt>
                <c:pt idx="11">
                  <c:v>4.0999999999999999E-4</c:v>
                </c:pt>
                <c:pt idx="12">
                  <c:v>4.7920000000000003E-3</c:v>
                </c:pt>
                <c:pt idx="13">
                  <c:v>7.8429999999999993E-3</c:v>
                </c:pt>
                <c:pt idx="14">
                  <c:v>5.53E-4</c:v>
                </c:pt>
                <c:pt idx="15">
                  <c:v>4.9360000000000003E-3</c:v>
                </c:pt>
                <c:pt idx="16">
                  <c:v>7.9769999999999994E-2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86-4F5F-A447-E1F956B60EA8}"/>
            </c:ext>
          </c:extLst>
        </c:ser>
        <c:ser>
          <c:idx val="1"/>
          <c:order val="1"/>
          <c:tx>
            <c:strRef>
              <c:f>'redundant RF2'!$J$1</c:f>
              <c:strCache>
                <c:ptCount val="1"/>
                <c:pt idx="0">
                  <c:v>computationTime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'redundant RF2'!$J$2:$J$18</c:f>
              <c:numCache>
                <c:formatCode>General</c:formatCode>
                <c:ptCount val="17"/>
                <c:pt idx="0">
                  <c:v>1.74E-4</c:v>
                </c:pt>
                <c:pt idx="1">
                  <c:v>6.0300000000000002E-4</c:v>
                </c:pt>
                <c:pt idx="2">
                  <c:v>5.6499999999999996E-4</c:v>
                </c:pt>
                <c:pt idx="3">
                  <c:v>2.0669999999999998E-3</c:v>
                </c:pt>
                <c:pt idx="4">
                  <c:v>8.4279999999999997E-3</c:v>
                </c:pt>
                <c:pt idx="5">
                  <c:v>1.9719999999999998E-3</c:v>
                </c:pt>
                <c:pt idx="6">
                  <c:v>7.4279999999999997E-3</c:v>
                </c:pt>
                <c:pt idx="7">
                  <c:v>2.9089E-2</c:v>
                </c:pt>
                <c:pt idx="8">
                  <c:v>7.8279999999999999E-3</c:v>
                </c:pt>
                <c:pt idx="9">
                  <c:v>3.1528E-2</c:v>
                </c:pt>
                <c:pt idx="10">
                  <c:v>0.116844</c:v>
                </c:pt>
                <c:pt idx="11">
                  <c:v>3.0186000000000001E-2</c:v>
                </c:pt>
                <c:pt idx="12">
                  <c:v>0.119273</c:v>
                </c:pt>
                <c:pt idx="13">
                  <c:v>0.470219</c:v>
                </c:pt>
                <c:pt idx="14">
                  <c:v>0.12074500000000001</c:v>
                </c:pt>
                <c:pt idx="15">
                  <c:v>0.47849799999999998</c:v>
                </c:pt>
                <c:pt idx="16">
                  <c:v>1.9113309999999999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186-4F5F-A447-E1F956B60E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78030576"/>
        <c:axId val="2078026000"/>
      </c:barChart>
      <c:catAx>
        <c:axId val="207803057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8026000"/>
        <c:crosses val="autoZero"/>
        <c:auto val="1"/>
        <c:lblAlgn val="ctr"/>
        <c:lblOffset val="100"/>
        <c:noMultiLvlLbl val="0"/>
      </c:catAx>
      <c:valAx>
        <c:axId val="2078026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80305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MLFMA berakdown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'redundant RF2'!$E$35</c:f>
              <c:strCache>
                <c:ptCount val="1"/>
                <c:pt idx="0">
                  <c:v>share NearField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'redundant RF2'!$E$36:$E$52</c:f>
              <c:numCache>
                <c:formatCode>General</c:formatCode>
                <c:ptCount val="17"/>
                <c:pt idx="0">
                  <c:v>0.3</c:v>
                </c:pt>
                <c:pt idx="1">
                  <c:v>0.2</c:v>
                </c:pt>
                <c:pt idx="2">
                  <c:v>0.16</c:v>
                </c:pt>
                <c:pt idx="3">
                  <c:v>0.15</c:v>
                </c:pt>
                <c:pt idx="4">
                  <c:v>0.14000000000000001</c:v>
                </c:pt>
                <c:pt idx="5">
                  <c:v>0.14000000000000001</c:v>
                </c:pt>
                <c:pt idx="6">
                  <c:v>0.73</c:v>
                </c:pt>
                <c:pt idx="7">
                  <c:v>0.63</c:v>
                </c:pt>
                <c:pt idx="8">
                  <c:v>0.57999999999999996</c:v>
                </c:pt>
                <c:pt idx="9">
                  <c:v>0.6</c:v>
                </c:pt>
                <c:pt idx="10">
                  <c:v>0.56999999999999995</c:v>
                </c:pt>
                <c:pt idx="11">
                  <c:v>0.56999999999999995</c:v>
                </c:pt>
                <c:pt idx="12">
                  <c:v>0.91</c:v>
                </c:pt>
                <c:pt idx="13">
                  <c:v>0.89</c:v>
                </c:pt>
                <c:pt idx="14">
                  <c:v>0.88</c:v>
                </c:pt>
                <c:pt idx="15">
                  <c:v>0.88</c:v>
                </c:pt>
                <c:pt idx="16">
                  <c:v>0.88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B94-49A8-841B-227728A064B1}"/>
            </c:ext>
          </c:extLst>
        </c:ser>
        <c:ser>
          <c:idx val="1"/>
          <c:order val="1"/>
          <c:tx>
            <c:strRef>
              <c:f>'redundant RF2'!$F$35</c:f>
              <c:strCache>
                <c:ptCount val="1"/>
                <c:pt idx="0">
                  <c:v>share FarField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'redundant RF2'!$F$36:$F$52</c:f>
              <c:numCache>
                <c:formatCode>General</c:formatCode>
                <c:ptCount val="17"/>
                <c:pt idx="0">
                  <c:v>0.63</c:v>
                </c:pt>
                <c:pt idx="1">
                  <c:v>0.76</c:v>
                </c:pt>
                <c:pt idx="2">
                  <c:v>0.83</c:v>
                </c:pt>
                <c:pt idx="3">
                  <c:v>0.85</c:v>
                </c:pt>
                <c:pt idx="4">
                  <c:v>0.86</c:v>
                </c:pt>
                <c:pt idx="5">
                  <c:v>0.86</c:v>
                </c:pt>
                <c:pt idx="6">
                  <c:v>0.22</c:v>
                </c:pt>
                <c:pt idx="7">
                  <c:v>0.34</c:v>
                </c:pt>
                <c:pt idx="8">
                  <c:v>0.41</c:v>
                </c:pt>
                <c:pt idx="9">
                  <c:v>0.4</c:v>
                </c:pt>
                <c:pt idx="10">
                  <c:v>0.43</c:v>
                </c:pt>
                <c:pt idx="11">
                  <c:v>0.43</c:v>
                </c:pt>
                <c:pt idx="12">
                  <c:v>0.08</c:v>
                </c:pt>
                <c:pt idx="13">
                  <c:v>0.11</c:v>
                </c:pt>
                <c:pt idx="14">
                  <c:v>0.12</c:v>
                </c:pt>
                <c:pt idx="15">
                  <c:v>0.12</c:v>
                </c:pt>
                <c:pt idx="16">
                  <c:v>0.12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B94-49A8-841B-227728A064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3965504"/>
        <c:axId val="93960512"/>
      </c:barChart>
      <c:catAx>
        <c:axId val="9396550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960512"/>
        <c:crosses val="autoZero"/>
        <c:auto val="1"/>
        <c:lblAlgn val="ctr"/>
        <c:lblOffset val="100"/>
        <c:noMultiLvlLbl val="0"/>
      </c:catAx>
      <c:valAx>
        <c:axId val="93960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9655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Share NearField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'redundant RF2'!$E$35</c:f>
              <c:strCache>
                <c:ptCount val="1"/>
                <c:pt idx="0">
                  <c:v>share NearField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'redundant RF2'!$A$36:$A$52</c:f>
              <c:numCache>
                <c:formatCode>General</c:formatCode>
                <c:ptCount val="17"/>
                <c:pt idx="0">
                  <c:v>16384</c:v>
                </c:pt>
                <c:pt idx="1">
                  <c:v>65536</c:v>
                </c:pt>
                <c:pt idx="2">
                  <c:v>262144</c:v>
                </c:pt>
                <c:pt idx="3">
                  <c:v>1048576</c:v>
                </c:pt>
                <c:pt idx="4">
                  <c:v>4194304</c:v>
                </c:pt>
                <c:pt idx="5">
                  <c:v>16777216</c:v>
                </c:pt>
                <c:pt idx="6">
                  <c:v>16384</c:v>
                </c:pt>
                <c:pt idx="7">
                  <c:v>65536</c:v>
                </c:pt>
                <c:pt idx="8">
                  <c:v>262144</c:v>
                </c:pt>
                <c:pt idx="9">
                  <c:v>1048576</c:v>
                </c:pt>
                <c:pt idx="10">
                  <c:v>4194304</c:v>
                </c:pt>
                <c:pt idx="11">
                  <c:v>16777216</c:v>
                </c:pt>
                <c:pt idx="12">
                  <c:v>65536</c:v>
                </c:pt>
                <c:pt idx="13">
                  <c:v>262144</c:v>
                </c:pt>
                <c:pt idx="14">
                  <c:v>1048576</c:v>
                </c:pt>
                <c:pt idx="15">
                  <c:v>4194304</c:v>
                </c:pt>
                <c:pt idx="16">
                  <c:v>16777216</c:v>
                </c:pt>
              </c:numCache>
            </c:numRef>
          </c:cat>
          <c:val>
            <c:numRef>
              <c:f>'redundant RF2'!$E$36:$E$52</c:f>
              <c:numCache>
                <c:formatCode>General</c:formatCode>
                <c:ptCount val="17"/>
                <c:pt idx="0">
                  <c:v>0.3</c:v>
                </c:pt>
                <c:pt idx="1">
                  <c:v>0.2</c:v>
                </c:pt>
                <c:pt idx="2">
                  <c:v>0.16</c:v>
                </c:pt>
                <c:pt idx="3">
                  <c:v>0.15</c:v>
                </c:pt>
                <c:pt idx="4">
                  <c:v>0.14000000000000001</c:v>
                </c:pt>
                <c:pt idx="5">
                  <c:v>0.14000000000000001</c:v>
                </c:pt>
                <c:pt idx="6">
                  <c:v>0.73</c:v>
                </c:pt>
                <c:pt idx="7">
                  <c:v>0.63</c:v>
                </c:pt>
                <c:pt idx="8">
                  <c:v>0.57999999999999996</c:v>
                </c:pt>
                <c:pt idx="9">
                  <c:v>0.6</c:v>
                </c:pt>
                <c:pt idx="10">
                  <c:v>0.56999999999999995</c:v>
                </c:pt>
                <c:pt idx="11">
                  <c:v>0.56999999999999995</c:v>
                </c:pt>
                <c:pt idx="12">
                  <c:v>0.91</c:v>
                </c:pt>
                <c:pt idx="13">
                  <c:v>0.89</c:v>
                </c:pt>
                <c:pt idx="14">
                  <c:v>0.88</c:v>
                </c:pt>
                <c:pt idx="15">
                  <c:v>0.88</c:v>
                </c:pt>
                <c:pt idx="16">
                  <c:v>0.88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38F-47FD-BFDE-C75D48714363}"/>
            </c:ext>
          </c:extLst>
        </c:ser>
        <c:ser>
          <c:idx val="1"/>
          <c:order val="1"/>
          <c:tx>
            <c:strRef>
              <c:f>'redundant RF2'!$H$35</c:f>
              <c:strCache>
                <c:ptCount val="1"/>
                <c:pt idx="0">
                  <c:v>Model 1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'redundant RF2'!$A$36:$A$52</c:f>
              <c:numCache>
                <c:formatCode>General</c:formatCode>
                <c:ptCount val="17"/>
                <c:pt idx="0">
                  <c:v>16384</c:v>
                </c:pt>
                <c:pt idx="1">
                  <c:v>65536</c:v>
                </c:pt>
                <c:pt idx="2">
                  <c:v>262144</c:v>
                </c:pt>
                <c:pt idx="3">
                  <c:v>1048576</c:v>
                </c:pt>
                <c:pt idx="4">
                  <c:v>4194304</c:v>
                </c:pt>
                <c:pt idx="5">
                  <c:v>16777216</c:v>
                </c:pt>
                <c:pt idx="6">
                  <c:v>16384</c:v>
                </c:pt>
                <c:pt idx="7">
                  <c:v>65536</c:v>
                </c:pt>
                <c:pt idx="8">
                  <c:v>262144</c:v>
                </c:pt>
                <c:pt idx="9">
                  <c:v>1048576</c:v>
                </c:pt>
                <c:pt idx="10">
                  <c:v>4194304</c:v>
                </c:pt>
                <c:pt idx="11">
                  <c:v>16777216</c:v>
                </c:pt>
                <c:pt idx="12">
                  <c:v>65536</c:v>
                </c:pt>
                <c:pt idx="13">
                  <c:v>262144</c:v>
                </c:pt>
                <c:pt idx="14">
                  <c:v>1048576</c:v>
                </c:pt>
                <c:pt idx="15">
                  <c:v>4194304</c:v>
                </c:pt>
                <c:pt idx="16">
                  <c:v>16777216</c:v>
                </c:pt>
              </c:numCache>
            </c:numRef>
          </c:cat>
          <c:val>
            <c:numRef>
              <c:f>'redundant RF2'!$H$36:$H$52</c:f>
              <c:numCache>
                <c:formatCode>General</c:formatCode>
                <c:ptCount val="17"/>
                <c:pt idx="0">
                  <c:v>0.30226806640624992</c:v>
                </c:pt>
                <c:pt idx="1">
                  <c:v>0.21806701660156247</c:v>
                </c:pt>
                <c:pt idx="2">
                  <c:v>0.19701675415039055</c:v>
                </c:pt>
                <c:pt idx="3">
                  <c:v>0.19175418853759763</c:v>
                </c:pt>
                <c:pt idx="4">
                  <c:v>0.19043854713439934</c:v>
                </c:pt>
                <c:pt idx="5">
                  <c:v>0.19010963678359982</c:v>
                </c:pt>
                <c:pt idx="6">
                  <c:v>0.67226806640624992</c:v>
                </c:pt>
                <c:pt idx="7">
                  <c:v>0.58806701660156224</c:v>
                </c:pt>
                <c:pt idx="8">
                  <c:v>0.56701675415039055</c:v>
                </c:pt>
                <c:pt idx="9">
                  <c:v>0.5617541885375974</c:v>
                </c:pt>
                <c:pt idx="10">
                  <c:v>0.56043854713439933</c:v>
                </c:pt>
                <c:pt idx="11">
                  <c:v>0.5601096367835996</c:v>
                </c:pt>
                <c:pt idx="12">
                  <c:v>0.95806701660156235</c:v>
                </c:pt>
                <c:pt idx="13">
                  <c:v>0.93701675415039065</c:v>
                </c:pt>
                <c:pt idx="14">
                  <c:v>0.93175418853759751</c:v>
                </c:pt>
                <c:pt idx="15">
                  <c:v>0.93043854713439944</c:v>
                </c:pt>
                <c:pt idx="16">
                  <c:v>0.9301096367835997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38F-47FD-BFDE-C75D487143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9568320"/>
        <c:axId val="179553344"/>
      </c:lineChart>
      <c:catAx>
        <c:axId val="1795683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553344"/>
        <c:crosses val="autoZero"/>
        <c:auto val="1"/>
        <c:lblAlgn val="ctr"/>
        <c:lblOffset val="100"/>
        <c:noMultiLvlLbl val="0"/>
      </c:catAx>
      <c:valAx>
        <c:axId val="179553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568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'redundant RF2'!$G$1</c:f>
              <c:strCache>
                <c:ptCount val="1"/>
                <c:pt idx="0">
                  <c:v>nearFieldTime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'redundant RF2'!$G$2:$G$18</c:f>
              <c:numCache>
                <c:formatCode>General</c:formatCode>
                <c:ptCount val="17"/>
                <c:pt idx="0">
                  <c:v>3.8000000000000002E-4</c:v>
                </c:pt>
                <c:pt idx="1">
                  <c:v>1.2390000000000001E-3</c:v>
                </c:pt>
                <c:pt idx="2">
                  <c:v>7.7499999999999997E-4</c:v>
                </c:pt>
                <c:pt idx="3">
                  <c:v>2.7599999999999999E-3</c:v>
                </c:pt>
                <c:pt idx="4">
                  <c:v>1.6393999999999999E-2</c:v>
                </c:pt>
                <c:pt idx="5">
                  <c:v>2.1810000000000002E-3</c:v>
                </c:pt>
                <c:pt idx="6">
                  <c:v>8.0859999999999994E-3</c:v>
                </c:pt>
                <c:pt idx="7">
                  <c:v>3.7053999999999997E-2</c:v>
                </c:pt>
                <c:pt idx="8">
                  <c:v>8.4829999999999992E-3</c:v>
                </c:pt>
                <c:pt idx="9">
                  <c:v>3.6419E-2</c:v>
                </c:pt>
                <c:pt idx="10">
                  <c:v>0.12478300000000001</c:v>
                </c:pt>
                <c:pt idx="11">
                  <c:v>3.0672999999999999E-2</c:v>
                </c:pt>
                <c:pt idx="12">
                  <c:v>0.124144</c:v>
                </c:pt>
                <c:pt idx="13">
                  <c:v>0.47815600000000003</c:v>
                </c:pt>
                <c:pt idx="14">
                  <c:v>0.12138400000000001</c:v>
                </c:pt>
                <c:pt idx="15">
                  <c:v>0.48352899999999999</c:v>
                </c:pt>
                <c:pt idx="16">
                  <c:v>1.9911920000000001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BE4-4651-A76B-327F2EF82ED4}"/>
            </c:ext>
          </c:extLst>
        </c:ser>
        <c:ser>
          <c:idx val="1"/>
          <c:order val="1"/>
          <c:tx>
            <c:strRef>
              <c:f>'redundant RF2'!$H$1</c:f>
              <c:strCache>
                <c:ptCount val="1"/>
                <c:pt idx="0">
                  <c:v>farFieldTime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'redundant RF2'!$H$2:$H$18</c:f>
              <c:numCache>
                <c:formatCode>General</c:formatCode>
                <c:ptCount val="17"/>
                <c:pt idx="0">
                  <c:v>7.8899999999999999E-4</c:v>
                </c:pt>
                <c:pt idx="1">
                  <c:v>3.6699999999999998E-4</c:v>
                </c:pt>
                <c:pt idx="2">
                  <c:v>2.9559999999999999E-3</c:v>
                </c:pt>
                <c:pt idx="3">
                  <c:v>1.485E-3</c:v>
                </c:pt>
                <c:pt idx="4">
                  <c:v>1.446E-3</c:v>
                </c:pt>
                <c:pt idx="5">
                  <c:v>1.1542E-2</c:v>
                </c:pt>
                <c:pt idx="6">
                  <c:v>5.803E-3</c:v>
                </c:pt>
                <c:pt idx="7">
                  <c:v>4.5050000000000003E-3</c:v>
                </c:pt>
                <c:pt idx="8">
                  <c:v>4.8113000000000003E-2</c:v>
                </c:pt>
                <c:pt idx="9">
                  <c:v>2.4509E-2</c:v>
                </c:pt>
                <c:pt idx="10">
                  <c:v>1.7191000000000001E-2</c:v>
                </c:pt>
                <c:pt idx="11">
                  <c:v>0.185423</c:v>
                </c:pt>
                <c:pt idx="12">
                  <c:v>9.2603000000000005E-2</c:v>
                </c:pt>
                <c:pt idx="13">
                  <c:v>6.7693000000000003E-2</c:v>
                </c:pt>
                <c:pt idx="14">
                  <c:v>0.73760999999999999</c:v>
                </c:pt>
                <c:pt idx="15">
                  <c:v>0.36870000000000003</c:v>
                </c:pt>
                <c:pt idx="16">
                  <c:v>0.27489599999999997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BE4-4651-A76B-327F2EF82E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74552464"/>
        <c:axId val="174541648"/>
      </c:barChart>
      <c:catAx>
        <c:axId val="17455246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41648"/>
        <c:crosses val="autoZero"/>
        <c:auto val="1"/>
        <c:lblAlgn val="ctr"/>
        <c:lblOffset val="100"/>
        <c:noMultiLvlLbl val="0"/>
      </c:catAx>
      <c:valAx>
        <c:axId val="174541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524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6011207292392987"/>
          <c:y val="5.186232909005186E-2"/>
          <c:w val="0.81469844617155041"/>
          <c:h val="0.89627534181989632"/>
        </c:manualLayout>
      </c:layout>
      <c:lineChart>
        <c:grouping val="standard"/>
        <c:varyColors val="0"/>
        <c:ser>
          <c:idx val="0"/>
          <c:order val="0"/>
          <c:tx>
            <c:strRef>
              <c:f>'redundant RF2'!$F$60</c:f>
              <c:strCache>
                <c:ptCount val="1"/>
                <c:pt idx="0">
                  <c:v>computationTime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'redundant RF2'!$F$61:$F$77</c:f>
              <c:numCache>
                <c:formatCode>General</c:formatCode>
                <c:ptCount val="17"/>
                <c:pt idx="0">
                  <c:v>1.74E-4</c:v>
                </c:pt>
                <c:pt idx="1">
                  <c:v>6.0300000000000002E-4</c:v>
                </c:pt>
                <c:pt idx="2">
                  <c:v>5.6499999999999996E-4</c:v>
                </c:pt>
                <c:pt idx="3">
                  <c:v>2.0669999999999998E-3</c:v>
                </c:pt>
                <c:pt idx="4">
                  <c:v>8.0289999999999997E-3</c:v>
                </c:pt>
                <c:pt idx="5">
                  <c:v>1.9719999999999998E-3</c:v>
                </c:pt>
                <c:pt idx="6">
                  <c:v>7.4279999999999997E-3</c:v>
                </c:pt>
                <c:pt idx="7">
                  <c:v>2.9089E-2</c:v>
                </c:pt>
                <c:pt idx="8">
                  <c:v>7.8279999999999999E-3</c:v>
                </c:pt>
                <c:pt idx="9">
                  <c:v>3.1528E-2</c:v>
                </c:pt>
                <c:pt idx="10">
                  <c:v>0.116844</c:v>
                </c:pt>
                <c:pt idx="11">
                  <c:v>3.0186000000000001E-2</c:v>
                </c:pt>
                <c:pt idx="12">
                  <c:v>0.119273</c:v>
                </c:pt>
                <c:pt idx="13">
                  <c:v>0.470219</c:v>
                </c:pt>
                <c:pt idx="14">
                  <c:v>0.12074500000000001</c:v>
                </c:pt>
                <c:pt idx="15">
                  <c:v>0.47849799999999998</c:v>
                </c:pt>
                <c:pt idx="16">
                  <c:v>1.9113309999999999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3D3-44EF-BF8A-1D35B68825B5}"/>
            </c:ext>
          </c:extLst>
        </c:ser>
        <c:ser>
          <c:idx val="1"/>
          <c:order val="1"/>
          <c:tx>
            <c:strRef>
              <c:f>'redundant RF2'!$I$60</c:f>
              <c:strCache>
                <c:ptCount val="1"/>
                <c:pt idx="0">
                  <c:v>Model 1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'redundant RF2'!$I$61:$I$77</c:f>
              <c:numCache>
                <c:formatCode>General</c:formatCode>
                <c:ptCount val="17"/>
                <c:pt idx="0">
                  <c:v>1.1915318181818182E-4</c:v>
                </c:pt>
                <c:pt idx="1">
                  <c:v>4.7662227272727274E-4</c:v>
                </c:pt>
                <c:pt idx="2">
                  <c:v>4.7662181818181818E-4</c:v>
                </c:pt>
                <c:pt idx="3">
                  <c:v>1.9064981818181818E-3</c:v>
                </c:pt>
                <c:pt idx="4">
                  <c:v>7.6260036363636364E-3</c:v>
                </c:pt>
                <c:pt idx="5">
                  <c:v>1.9064977272727273E-3</c:v>
                </c:pt>
                <c:pt idx="6">
                  <c:v>7.6260031818181822E-3</c:v>
                </c:pt>
                <c:pt idx="7">
                  <c:v>3.0504025000000001E-2</c:v>
                </c:pt>
                <c:pt idx="8">
                  <c:v>7.6260027272727271E-3</c:v>
                </c:pt>
                <c:pt idx="9">
                  <c:v>3.0504024545454544E-2</c:v>
                </c:pt>
                <c:pt idx="10">
                  <c:v>0.12201611181818182</c:v>
                </c:pt>
                <c:pt idx="11">
                  <c:v>3.050402409090909E-2</c:v>
                </c:pt>
                <c:pt idx="12">
                  <c:v>0.12201611136363637</c:v>
                </c:pt>
                <c:pt idx="13">
                  <c:v>0.48806446045454543</c:v>
                </c:pt>
                <c:pt idx="14">
                  <c:v>0.12201611090909091</c:v>
                </c:pt>
                <c:pt idx="15">
                  <c:v>0.48806445999999998</c:v>
                </c:pt>
                <c:pt idx="16">
                  <c:v>1.9522578563636364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3D3-44EF-BF8A-1D35B68825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92146000"/>
        <c:axId val="2092127280"/>
      </c:lineChart>
      <c:catAx>
        <c:axId val="209214600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2127280"/>
        <c:crosses val="autoZero"/>
        <c:auto val="1"/>
        <c:lblAlgn val="ctr"/>
        <c:lblOffset val="100"/>
        <c:noMultiLvlLbl val="0"/>
      </c:catAx>
      <c:valAx>
        <c:axId val="2092127280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21460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3210829747793407"/>
          <c:y val="0.76461519042792925"/>
          <c:w val="0.32315110305712802"/>
          <c:h val="0.1591241688848300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'redundant RF2'!$F$81</c:f>
              <c:strCache>
                <c:ptCount val="1"/>
                <c:pt idx="0">
                  <c:v>transferTime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'redundant RF2'!$F$82:$F$98</c:f>
              <c:numCache>
                <c:formatCode>General</c:formatCode>
                <c:ptCount val="17"/>
                <c:pt idx="0">
                  <c:v>1.64E-4</c:v>
                </c:pt>
                <c:pt idx="1">
                  <c:v>1.35E-4</c:v>
                </c:pt>
                <c:pt idx="2">
                  <c:v>1.34E-4</c:v>
                </c:pt>
                <c:pt idx="3">
                  <c:v>5.7300000000000005E-4</c:v>
                </c:pt>
                <c:pt idx="4">
                  <c:v>4.0999999999999999E-4</c:v>
                </c:pt>
                <c:pt idx="5">
                  <c:v>5.53E-4</c:v>
                </c:pt>
                <c:pt idx="6">
                  <c:v>5.9400000000000002E-4</c:v>
                </c:pt>
                <c:pt idx="7">
                  <c:v>6.1399999999999996E-4</c:v>
                </c:pt>
                <c:pt idx="8">
                  <c:v>5.7899999999999998E-4</c:v>
                </c:pt>
                <c:pt idx="9">
                  <c:v>4.8129999999999996E-3</c:v>
                </c:pt>
                <c:pt idx="10">
                  <c:v>4.7920000000000003E-3</c:v>
                </c:pt>
                <c:pt idx="11">
                  <c:v>4.9360000000000003E-3</c:v>
                </c:pt>
                <c:pt idx="12">
                  <c:v>7.8440000000000003E-3</c:v>
                </c:pt>
                <c:pt idx="13">
                  <c:v>7.8849999999999996E-3</c:v>
                </c:pt>
                <c:pt idx="14">
                  <c:v>7.8530000000000006E-3</c:v>
                </c:pt>
                <c:pt idx="15">
                  <c:v>7.8429999999999993E-3</c:v>
                </c:pt>
                <c:pt idx="16">
                  <c:v>7.9769999999999994E-2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232-4B86-AA7A-94B893A0B64A}"/>
            </c:ext>
          </c:extLst>
        </c:ser>
        <c:ser>
          <c:idx val="1"/>
          <c:order val="1"/>
          <c:tx>
            <c:strRef>
              <c:f>'redundant RF2'!$J$81</c:f>
              <c:strCache>
                <c:ptCount val="1"/>
                <c:pt idx="0">
                  <c:v>Model 1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'redundant RF2'!$J$82:$J$98</c:f>
              <c:numCache>
                <c:formatCode>General</c:formatCode>
                <c:ptCount val="17"/>
                <c:pt idx="0">
                  <c:v>2.5015804074772361E-4</c:v>
                </c:pt>
                <c:pt idx="1">
                  <c:v>2.5018061799739839E-4</c:v>
                </c:pt>
                <c:pt idx="2">
                  <c:v>2.5020319524707318E-4</c:v>
                </c:pt>
                <c:pt idx="3">
                  <c:v>2.5022577249674802E-4</c:v>
                </c:pt>
                <c:pt idx="4">
                  <c:v>2.502483497464228E-4</c:v>
                </c:pt>
                <c:pt idx="5">
                  <c:v>2.5027092699609759E-4</c:v>
                </c:pt>
                <c:pt idx="6">
                  <c:v>1.0001580407477237E-3</c:v>
                </c:pt>
                <c:pt idx="7">
                  <c:v>1.0001806179973985E-3</c:v>
                </c:pt>
                <c:pt idx="8">
                  <c:v>1.0002031952470731E-3</c:v>
                </c:pt>
                <c:pt idx="9">
                  <c:v>5.4002257724967487E-3</c:v>
                </c:pt>
                <c:pt idx="10">
                  <c:v>5.4002483497464226E-3</c:v>
                </c:pt>
                <c:pt idx="11">
                  <c:v>5.4002709269960975E-3</c:v>
                </c:pt>
                <c:pt idx="12">
                  <c:v>8.0001806179973989E-3</c:v>
                </c:pt>
                <c:pt idx="13">
                  <c:v>8.0002031952470729E-3</c:v>
                </c:pt>
                <c:pt idx="14">
                  <c:v>8.0002257724967486E-3</c:v>
                </c:pt>
                <c:pt idx="15">
                  <c:v>8.0002483497464225E-3</c:v>
                </c:pt>
                <c:pt idx="16">
                  <c:v>8.533622322129171E-2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232-4B86-AA7A-94B893A0B6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82697488"/>
        <c:axId val="2082682928"/>
      </c:lineChart>
      <c:catAx>
        <c:axId val="208269748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2682928"/>
        <c:crosses val="autoZero"/>
        <c:auto val="1"/>
        <c:lblAlgn val="ctr"/>
        <c:lblOffset val="100"/>
        <c:noMultiLvlLbl val="0"/>
      </c:catAx>
      <c:valAx>
        <c:axId val="2082682928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2697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Computation 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8245603674540684"/>
          <c:y val="0.17171296296296296"/>
          <c:w val="0.74832174103237092"/>
          <c:h val="0.70696741032370958"/>
        </c:manualLayout>
      </c:layout>
      <c:scatterChart>
        <c:scatterStyle val="lineMarker"/>
        <c:varyColors val="0"/>
        <c:ser>
          <c:idx val="0"/>
          <c:order val="0"/>
          <c:tx>
            <c:strRef>
              <c:f>'redundant RF2'!$C$83</c:f>
              <c:strCache>
                <c:ptCount val="1"/>
                <c:pt idx="0">
                  <c:v>16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'redundant RF2'!$A$82:$A$87</c:f>
              <c:numCache>
                <c:formatCode>General</c:formatCode>
                <c:ptCount val="6"/>
                <c:pt idx="0">
                  <c:v>16384</c:v>
                </c:pt>
                <c:pt idx="1">
                  <c:v>65536</c:v>
                </c:pt>
                <c:pt idx="2">
                  <c:v>262144</c:v>
                </c:pt>
                <c:pt idx="3">
                  <c:v>1048576</c:v>
                </c:pt>
                <c:pt idx="4">
                  <c:v>4194304</c:v>
                </c:pt>
                <c:pt idx="5">
                  <c:v>16777216</c:v>
                </c:pt>
              </c:numCache>
            </c:numRef>
          </c:xVal>
          <c:yVal>
            <c:numRef>
              <c:f>'redundant RF2'!$G$82:$G$87</c:f>
              <c:numCache>
                <c:formatCode>General</c:formatCode>
                <c:ptCount val="6"/>
                <c:pt idx="0">
                  <c:v>1.74E-4</c:v>
                </c:pt>
                <c:pt idx="1">
                  <c:v>5.6499999999999996E-4</c:v>
                </c:pt>
                <c:pt idx="2">
                  <c:v>1.9719999999999998E-3</c:v>
                </c:pt>
                <c:pt idx="3">
                  <c:v>7.8279999999999999E-3</c:v>
                </c:pt>
                <c:pt idx="4">
                  <c:v>3.0186000000000001E-2</c:v>
                </c:pt>
                <c:pt idx="5">
                  <c:v>0.12074500000000001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72C-4C9E-824E-D5E7B2F0B1D1}"/>
            </c:ext>
          </c:extLst>
        </c:ser>
        <c:ser>
          <c:idx val="1"/>
          <c:order val="1"/>
          <c:tx>
            <c:strRef>
              <c:f>'redundant RF2'!$C$88</c:f>
              <c:strCache>
                <c:ptCount val="1"/>
                <c:pt idx="0">
                  <c:v>64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'redundant RF2'!$A$88:$A$93</c:f>
              <c:numCache>
                <c:formatCode>General</c:formatCode>
                <c:ptCount val="6"/>
                <c:pt idx="0">
                  <c:v>16384</c:v>
                </c:pt>
                <c:pt idx="1">
                  <c:v>65536</c:v>
                </c:pt>
                <c:pt idx="2">
                  <c:v>262144</c:v>
                </c:pt>
                <c:pt idx="3">
                  <c:v>1048576</c:v>
                </c:pt>
                <c:pt idx="4">
                  <c:v>4194304</c:v>
                </c:pt>
                <c:pt idx="5">
                  <c:v>16777216</c:v>
                </c:pt>
              </c:numCache>
            </c:numRef>
          </c:xVal>
          <c:yVal>
            <c:numRef>
              <c:f>'redundant RF2'!$G$88:$G$93</c:f>
              <c:numCache>
                <c:formatCode>General</c:formatCode>
                <c:ptCount val="6"/>
                <c:pt idx="0">
                  <c:v>6.0300000000000002E-4</c:v>
                </c:pt>
                <c:pt idx="1">
                  <c:v>2.0669999999999998E-3</c:v>
                </c:pt>
                <c:pt idx="2">
                  <c:v>7.4279999999999997E-3</c:v>
                </c:pt>
                <c:pt idx="3">
                  <c:v>3.1528E-2</c:v>
                </c:pt>
                <c:pt idx="4">
                  <c:v>0.119273</c:v>
                </c:pt>
                <c:pt idx="5">
                  <c:v>0.47849799999999998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72C-4C9E-824E-D5E7B2F0B1D1}"/>
            </c:ext>
          </c:extLst>
        </c:ser>
        <c:ser>
          <c:idx val="2"/>
          <c:order val="2"/>
          <c:tx>
            <c:strRef>
              <c:f>'redundant RF2'!$C$95</c:f>
              <c:strCache>
                <c:ptCount val="1"/>
                <c:pt idx="0">
                  <c:v>256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'redundant RF2'!$A$94:$A$98</c:f>
              <c:numCache>
                <c:formatCode>General</c:formatCode>
                <c:ptCount val="5"/>
                <c:pt idx="0">
                  <c:v>65536</c:v>
                </c:pt>
                <c:pt idx="1">
                  <c:v>262144</c:v>
                </c:pt>
                <c:pt idx="2">
                  <c:v>1048576</c:v>
                </c:pt>
                <c:pt idx="3">
                  <c:v>4194304</c:v>
                </c:pt>
                <c:pt idx="4">
                  <c:v>16777216</c:v>
                </c:pt>
              </c:numCache>
            </c:numRef>
          </c:xVal>
          <c:yVal>
            <c:numRef>
              <c:f>'redundant RF2'!$G$94:$G$98</c:f>
              <c:numCache>
                <c:formatCode>General</c:formatCode>
                <c:ptCount val="5"/>
                <c:pt idx="0">
                  <c:v>8.0289999999999997E-3</c:v>
                </c:pt>
                <c:pt idx="1">
                  <c:v>2.9089E-2</c:v>
                </c:pt>
                <c:pt idx="2">
                  <c:v>0.116844</c:v>
                </c:pt>
                <c:pt idx="3">
                  <c:v>0.470219</c:v>
                </c:pt>
                <c:pt idx="4">
                  <c:v>1.9113309999999999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72C-4C9E-824E-D5E7B2F0B1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851520"/>
        <c:axId val="81853184"/>
      </c:scatterChart>
      <c:valAx>
        <c:axId val="81851520"/>
        <c:scaling>
          <c:logBase val="10"/>
          <c:orientation val="minMax"/>
          <c:max val="30000000"/>
          <c:min val="10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Log</a:t>
                </a:r>
                <a:r>
                  <a:rPr lang="en-US" baseline="0"/>
                  <a:t> N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853184"/>
        <c:crosses val="autoZero"/>
        <c:crossBetween val="midCat"/>
      </c:valAx>
      <c:valAx>
        <c:axId val="81853184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Log Computation</a:t>
                </a:r>
                <a:r>
                  <a:rPr lang="en-US" baseline="0"/>
                  <a:t> Time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85152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0088888888888887"/>
          <c:y val="0.6191309419655876"/>
          <c:w val="0.14589178356713428"/>
          <c:h val="0.2343766404199475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Transfer 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6301159230096238"/>
          <c:y val="0.17171296296296296"/>
          <c:w val="0.76965507436570435"/>
          <c:h val="0.64123468941382322"/>
        </c:manualLayout>
      </c:layout>
      <c:scatterChart>
        <c:scatterStyle val="lineMarker"/>
        <c:varyColors val="0"/>
        <c:ser>
          <c:idx val="0"/>
          <c:order val="0"/>
          <c:tx>
            <c:v>t=16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'redundant RF2'!$A$82:$A$87</c:f>
              <c:numCache>
                <c:formatCode>General</c:formatCode>
                <c:ptCount val="6"/>
                <c:pt idx="0">
                  <c:v>16384</c:v>
                </c:pt>
                <c:pt idx="1">
                  <c:v>65536</c:v>
                </c:pt>
                <c:pt idx="2">
                  <c:v>262144</c:v>
                </c:pt>
                <c:pt idx="3">
                  <c:v>1048576</c:v>
                </c:pt>
                <c:pt idx="4">
                  <c:v>4194304</c:v>
                </c:pt>
                <c:pt idx="5">
                  <c:v>16777216</c:v>
                </c:pt>
              </c:numCache>
            </c:numRef>
          </c:xVal>
          <c:yVal>
            <c:numRef>
              <c:f>'redundant RF2'!$F$82:$F$87</c:f>
              <c:numCache>
                <c:formatCode>General</c:formatCode>
                <c:ptCount val="6"/>
                <c:pt idx="0">
                  <c:v>1.64E-4</c:v>
                </c:pt>
                <c:pt idx="1">
                  <c:v>1.35E-4</c:v>
                </c:pt>
                <c:pt idx="2">
                  <c:v>1.34E-4</c:v>
                </c:pt>
                <c:pt idx="3">
                  <c:v>5.7300000000000005E-4</c:v>
                </c:pt>
                <c:pt idx="4">
                  <c:v>4.0999999999999999E-4</c:v>
                </c:pt>
                <c:pt idx="5">
                  <c:v>5.53E-4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75B-4512-8E80-F80A805A4F5C}"/>
            </c:ext>
          </c:extLst>
        </c:ser>
        <c:ser>
          <c:idx val="1"/>
          <c:order val="1"/>
          <c:tx>
            <c:strRef>
              <c:f>'redundant RF2'!$C$89</c:f>
              <c:strCache>
                <c:ptCount val="1"/>
                <c:pt idx="0">
                  <c:v>64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'redundant RF2'!$A$88:$A$93</c:f>
              <c:numCache>
                <c:formatCode>General</c:formatCode>
                <c:ptCount val="6"/>
                <c:pt idx="0">
                  <c:v>16384</c:v>
                </c:pt>
                <c:pt idx="1">
                  <c:v>65536</c:v>
                </c:pt>
                <c:pt idx="2">
                  <c:v>262144</c:v>
                </c:pt>
                <c:pt idx="3">
                  <c:v>1048576</c:v>
                </c:pt>
                <c:pt idx="4">
                  <c:v>4194304</c:v>
                </c:pt>
                <c:pt idx="5">
                  <c:v>16777216</c:v>
                </c:pt>
              </c:numCache>
            </c:numRef>
          </c:xVal>
          <c:yVal>
            <c:numRef>
              <c:f>'redundant RF2'!$F$88:$F$93</c:f>
              <c:numCache>
                <c:formatCode>General</c:formatCode>
                <c:ptCount val="6"/>
                <c:pt idx="0">
                  <c:v>5.9400000000000002E-4</c:v>
                </c:pt>
                <c:pt idx="1">
                  <c:v>6.1399999999999996E-4</c:v>
                </c:pt>
                <c:pt idx="2">
                  <c:v>5.7899999999999998E-4</c:v>
                </c:pt>
                <c:pt idx="3">
                  <c:v>4.8129999999999996E-3</c:v>
                </c:pt>
                <c:pt idx="4">
                  <c:v>4.7920000000000003E-3</c:v>
                </c:pt>
                <c:pt idx="5">
                  <c:v>4.9360000000000003E-3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75B-4512-8E80-F80A805A4F5C}"/>
            </c:ext>
          </c:extLst>
        </c:ser>
        <c:ser>
          <c:idx val="2"/>
          <c:order val="2"/>
          <c:tx>
            <c:strRef>
              <c:f>'redundant RF2'!$C$96</c:f>
              <c:strCache>
                <c:ptCount val="1"/>
                <c:pt idx="0">
                  <c:v>256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'redundant RF2'!$A$94:$A$98</c:f>
              <c:numCache>
                <c:formatCode>General</c:formatCode>
                <c:ptCount val="5"/>
                <c:pt idx="0">
                  <c:v>65536</c:v>
                </c:pt>
                <c:pt idx="1">
                  <c:v>262144</c:v>
                </c:pt>
                <c:pt idx="2">
                  <c:v>1048576</c:v>
                </c:pt>
                <c:pt idx="3">
                  <c:v>4194304</c:v>
                </c:pt>
                <c:pt idx="4">
                  <c:v>16777216</c:v>
                </c:pt>
              </c:numCache>
            </c:numRef>
          </c:xVal>
          <c:yVal>
            <c:numRef>
              <c:f>'redundant RF2'!$F$94:$F$98</c:f>
              <c:numCache>
                <c:formatCode>General</c:formatCode>
                <c:ptCount val="5"/>
                <c:pt idx="0">
                  <c:v>7.8440000000000003E-3</c:v>
                </c:pt>
                <c:pt idx="1">
                  <c:v>7.8849999999999996E-3</c:v>
                </c:pt>
                <c:pt idx="2">
                  <c:v>7.8530000000000006E-3</c:v>
                </c:pt>
                <c:pt idx="3">
                  <c:v>7.8429999999999993E-3</c:v>
                </c:pt>
                <c:pt idx="4">
                  <c:v>7.9769999999999994E-2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75B-4512-8E80-F80A805A4F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3985472"/>
        <c:axId val="93994208"/>
      </c:scatterChart>
      <c:valAx>
        <c:axId val="93985472"/>
        <c:scaling>
          <c:logBase val="10"/>
          <c:orientation val="minMax"/>
          <c:max val="30000000"/>
          <c:min val="10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Log</a:t>
                </a:r>
                <a:r>
                  <a:rPr lang="en-US" baseline="0"/>
                  <a:t> N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994208"/>
        <c:crosses val="autoZero"/>
        <c:crossBetween val="midCat"/>
      </c:valAx>
      <c:valAx>
        <c:axId val="93994208"/>
        <c:scaling>
          <c:logBase val="10"/>
          <c:orientation val="minMax"/>
          <c:max val="0.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Log Transer</a:t>
                </a:r>
                <a:r>
                  <a:rPr lang="en-US" baseline="0"/>
                  <a:t> Time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98547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195513779527559"/>
          <c:y val="0.19783464566929135"/>
          <c:w val="0.18766118909049412"/>
          <c:h val="0.2632623730146056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'redundant RF2'!$H$81</c:f>
              <c:strCache>
                <c:ptCount val="1"/>
                <c:pt idx="0">
                  <c:v>Share Transfer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'redundant RF2'!$H$82:$H$98</c:f>
              <c:numCache>
                <c:formatCode>General</c:formatCode>
                <c:ptCount val="17"/>
                <c:pt idx="0">
                  <c:v>0.48520710059171601</c:v>
                </c:pt>
                <c:pt idx="1">
                  <c:v>0.19285714285714287</c:v>
                </c:pt>
                <c:pt idx="2">
                  <c:v>6.3627730294396972E-2</c:v>
                </c:pt>
                <c:pt idx="3">
                  <c:v>6.8206165932627072E-2</c:v>
                </c:pt>
                <c:pt idx="4">
                  <c:v>1.3400444502549352E-2</c:v>
                </c:pt>
                <c:pt idx="5">
                  <c:v>4.5590199343764938E-3</c:v>
                </c:pt>
                <c:pt idx="6">
                  <c:v>0.49624060150375937</c:v>
                </c:pt>
                <c:pt idx="7">
                  <c:v>0.22901902275270422</c:v>
                </c:pt>
                <c:pt idx="8">
                  <c:v>7.2311727238666162E-2</c:v>
                </c:pt>
                <c:pt idx="9">
                  <c:v>0.132439943865056</c:v>
                </c:pt>
                <c:pt idx="10">
                  <c:v>3.8624914359408374E-2</c:v>
                </c:pt>
                <c:pt idx="11">
                  <c:v>1.0210287236727249E-2</c:v>
                </c:pt>
                <c:pt idx="12">
                  <c:v>0.49417249417249426</c:v>
                </c:pt>
                <c:pt idx="13">
                  <c:v>0.21325796505652619</c:v>
                </c:pt>
                <c:pt idx="14">
                  <c:v>6.2976655412720434E-2</c:v>
                </c:pt>
                <c:pt idx="15">
                  <c:v>1.6405821839008329E-2</c:v>
                </c:pt>
                <c:pt idx="16">
                  <c:v>4.0063261481963999E-2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592-4C6C-BCCD-855AB0CF13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97549344"/>
        <c:axId val="297565568"/>
      </c:lineChart>
      <c:lineChart>
        <c:grouping val="standard"/>
        <c:varyColors val="0"/>
        <c:ser>
          <c:idx val="1"/>
          <c:order val="1"/>
          <c:tx>
            <c:strRef>
              <c:f>'redundant RF2'!$K$81</c:f>
              <c:strCache>
                <c:ptCount val="1"/>
                <c:pt idx="0">
                  <c:v>Model 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'redundant RF2'!$K$82:$K$98</c:f>
              <c:numCache>
                <c:formatCode>General</c:formatCode>
                <c:ptCount val="17"/>
                <c:pt idx="0">
                  <c:v>3.90625E-2</c:v>
                </c:pt>
                <c:pt idx="1">
                  <c:v>1.6E-2</c:v>
                </c:pt>
                <c:pt idx="2">
                  <c:v>7.716049382716049E-3</c:v>
                </c:pt>
                <c:pt idx="3">
                  <c:v>4.1649312786339026E-3</c:v>
                </c:pt>
                <c:pt idx="4">
                  <c:v>2.44140625E-3</c:v>
                </c:pt>
                <c:pt idx="5">
                  <c:v>1.5241579027587258E-3</c:v>
                </c:pt>
                <c:pt idx="6">
                  <c:v>3.90625E-2</c:v>
                </c:pt>
                <c:pt idx="7">
                  <c:v>1.6E-2</c:v>
                </c:pt>
                <c:pt idx="8">
                  <c:v>7.716049382716049E-3</c:v>
                </c:pt>
                <c:pt idx="9">
                  <c:v>4.1649312786339026E-3</c:v>
                </c:pt>
                <c:pt idx="10">
                  <c:v>2.44140625E-3</c:v>
                </c:pt>
                <c:pt idx="11">
                  <c:v>1.5241579027587258E-3</c:v>
                </c:pt>
                <c:pt idx="12">
                  <c:v>3.90625E-2</c:v>
                </c:pt>
                <c:pt idx="13">
                  <c:v>1.6E-2</c:v>
                </c:pt>
                <c:pt idx="14">
                  <c:v>7.716049382716049E-3</c:v>
                </c:pt>
                <c:pt idx="15">
                  <c:v>4.1649312786339026E-3</c:v>
                </c:pt>
                <c:pt idx="16">
                  <c:v>2.44140625E-3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592-4C6C-BCCD-855AB0CF13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14781632"/>
        <c:axId val="314781216"/>
      </c:lineChart>
      <c:catAx>
        <c:axId val="29754934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7565568"/>
        <c:crosses val="autoZero"/>
        <c:auto val="1"/>
        <c:lblAlgn val="ctr"/>
        <c:lblOffset val="100"/>
        <c:noMultiLvlLbl val="0"/>
      </c:catAx>
      <c:valAx>
        <c:axId val="297565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7549344"/>
        <c:crosses val="autoZero"/>
        <c:crossBetween val="between"/>
      </c:valAx>
      <c:valAx>
        <c:axId val="314781216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4781632"/>
        <c:crosses val="max"/>
        <c:crossBetween val="between"/>
      </c:valAx>
      <c:catAx>
        <c:axId val="314781632"/>
        <c:scaling>
          <c:orientation val="minMax"/>
        </c:scaling>
        <c:delete val="1"/>
        <c:axPos val="b"/>
        <c:majorTickMark val="out"/>
        <c:minorTickMark val="none"/>
        <c:tickLblPos val="nextTo"/>
        <c:crossAx val="31478121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SpeedUp</a:t>
            </a:r>
            <a:r>
              <a:rPr lang="en-US" baseline="0"/>
              <a:t> of NearField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202537182852145"/>
          <c:y val="5.5555555555555552E-2"/>
          <c:w val="0.78597462817147856"/>
          <c:h val="0.77223024205307667"/>
        </c:manualLayout>
      </c:layout>
      <c:bubbleChart>
        <c:varyColors val="0"/>
        <c:ser>
          <c:idx val="0"/>
          <c:order val="0"/>
          <c:tx>
            <c:strRef>
              <c:f>'X redundant'!$D$2</c:f>
              <c:strCache>
                <c:ptCount val="1"/>
                <c:pt idx="0">
                  <c:v>t</c:v>
                </c:pt>
              </c:strCache>
            </c:strRef>
          </c:tx>
          <c:spPr>
            <a:solidFill>
              <a:schemeClr val="accent1">
                <a:alpha val="75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xVal>
            <c:numRef>
              <c:f>'X redundant'!$A$3:$A$19</c:f>
              <c:numCache>
                <c:formatCode>General</c:formatCode>
                <c:ptCount val="17"/>
                <c:pt idx="0">
                  <c:v>16384</c:v>
                </c:pt>
                <c:pt idx="1">
                  <c:v>16384</c:v>
                </c:pt>
                <c:pt idx="2">
                  <c:v>65536</c:v>
                </c:pt>
                <c:pt idx="3">
                  <c:v>65536</c:v>
                </c:pt>
                <c:pt idx="4">
                  <c:v>65536</c:v>
                </c:pt>
                <c:pt idx="5">
                  <c:v>262144</c:v>
                </c:pt>
                <c:pt idx="6">
                  <c:v>262144</c:v>
                </c:pt>
                <c:pt idx="7">
                  <c:v>262144</c:v>
                </c:pt>
                <c:pt idx="8">
                  <c:v>1048576</c:v>
                </c:pt>
                <c:pt idx="9">
                  <c:v>1048576</c:v>
                </c:pt>
                <c:pt idx="10">
                  <c:v>1048576</c:v>
                </c:pt>
                <c:pt idx="11">
                  <c:v>4194304</c:v>
                </c:pt>
                <c:pt idx="12">
                  <c:v>4194304</c:v>
                </c:pt>
                <c:pt idx="13">
                  <c:v>4194304</c:v>
                </c:pt>
                <c:pt idx="14">
                  <c:v>16777216</c:v>
                </c:pt>
                <c:pt idx="15">
                  <c:v>16777216</c:v>
                </c:pt>
                <c:pt idx="16">
                  <c:v>16777216</c:v>
                </c:pt>
              </c:numCache>
            </c:numRef>
          </c:xVal>
          <c:yVal>
            <c:numRef>
              <c:f>'X redundant'!$D$3:$D$19</c:f>
              <c:numCache>
                <c:formatCode>General</c:formatCode>
                <c:ptCount val="17"/>
                <c:pt idx="0">
                  <c:v>16</c:v>
                </c:pt>
                <c:pt idx="1">
                  <c:v>64</c:v>
                </c:pt>
                <c:pt idx="2">
                  <c:v>16</c:v>
                </c:pt>
                <c:pt idx="3">
                  <c:v>64</c:v>
                </c:pt>
                <c:pt idx="4">
                  <c:v>256</c:v>
                </c:pt>
                <c:pt idx="5">
                  <c:v>16</c:v>
                </c:pt>
                <c:pt idx="6">
                  <c:v>64</c:v>
                </c:pt>
                <c:pt idx="7">
                  <c:v>256</c:v>
                </c:pt>
                <c:pt idx="8">
                  <c:v>16</c:v>
                </c:pt>
                <c:pt idx="9">
                  <c:v>64</c:v>
                </c:pt>
                <c:pt idx="10">
                  <c:v>256</c:v>
                </c:pt>
                <c:pt idx="11">
                  <c:v>16</c:v>
                </c:pt>
                <c:pt idx="12">
                  <c:v>64</c:v>
                </c:pt>
                <c:pt idx="13">
                  <c:v>256</c:v>
                </c:pt>
                <c:pt idx="14">
                  <c:v>16</c:v>
                </c:pt>
                <c:pt idx="15">
                  <c:v>64</c:v>
                </c:pt>
                <c:pt idx="16">
                  <c:v>256</c:v>
                </c:pt>
              </c:numCache>
            </c:numRef>
          </c:yVal>
          <c:bubbleSize>
            <c:numRef>
              <c:f>'X redundant'!$M$3:$M$19</c:f>
              <c:numCache>
                <c:formatCode>General</c:formatCode>
                <c:ptCount val="17"/>
                <c:pt idx="0">
                  <c:v>5.0328437500000017E-2</c:v>
                </c:pt>
                <c:pt idx="1">
                  <c:v>2.2934500699999995E-2</c:v>
                </c:pt>
                <c:pt idx="2">
                  <c:v>0.47042701759999989</c:v>
                </c:pt>
                <c:pt idx="3">
                  <c:v>0.59049000000000018</c:v>
                </c:pt>
                <c:pt idx="4">
                  <c:v>8.4459630099999988E-2</c:v>
                </c:pt>
                <c:pt idx="5">
                  <c:v>1.0510100500999999</c:v>
                </c:pt>
                <c:pt idx="6">
                  <c:v>2.1924480356999991</c:v>
                </c:pt>
                <c:pt idx="7">
                  <c:v>0.69568836930000022</c:v>
                </c:pt>
                <c:pt idx="8">
                  <c:v>1.0510100500999999</c:v>
                </c:pt>
                <c:pt idx="9">
                  <c:v>0.62403214510000016</c:v>
                </c:pt>
                <c:pt idx="10">
                  <c:v>1.3382255776000005</c:v>
                </c:pt>
                <c:pt idx="11">
                  <c:v>1.4693280768000003</c:v>
                </c:pt>
                <c:pt idx="12">
                  <c:v>1.3382255776000005</c:v>
                </c:pt>
                <c:pt idx="13">
                  <c:v>1.6850581551000006</c:v>
                </c:pt>
                <c:pt idx="14">
                  <c:v>1.5386239549000005</c:v>
                </c:pt>
                <c:pt idx="15">
                  <c:v>1.5386239549000005</c:v>
                </c:pt>
                <c:pt idx="16">
                  <c:v>1.4025517307000002</c:v>
                </c:pt>
              </c:numCache>
            </c:numRef>
          </c:bubbleSize>
          <c:bubble3D val="0"/>
          <c:extLst>
            <c:ext xmlns:c16="http://schemas.microsoft.com/office/drawing/2014/chart" uri="{C3380CC4-5D6E-409C-BE32-E72D297353CC}">
              <c16:uniqueId val="{00000000-23EB-41FD-AD7B-283346C57D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bubbleScale val="30"/>
        <c:showNegBubbles val="0"/>
        <c:sizeRepresents val="w"/>
        <c:axId val="586611792"/>
        <c:axId val="586617616"/>
      </c:bubbleChart>
      <c:valAx>
        <c:axId val="586611792"/>
        <c:scaling>
          <c:logBase val="10"/>
          <c:orientation val="minMax"/>
          <c:max val="100000000"/>
          <c:min val="10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6617616"/>
        <c:crosses val="autoZero"/>
        <c:crossBetween val="midCat"/>
      </c:valAx>
      <c:valAx>
        <c:axId val="586617616"/>
        <c:scaling>
          <c:logBase val="10"/>
          <c:orientation val="minMax"/>
          <c:max val="1000"/>
          <c:min val="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66117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6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>
            <a:alpha val="50000"/>
          </a:schemeClr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6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>
            <a:alpha val="50000"/>
          </a:schemeClr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0.xml"/><Relationship Id="rId3" Type="http://schemas.openxmlformats.org/officeDocument/2006/relationships/chart" Target="../charts/chart15.xml"/><Relationship Id="rId7" Type="http://schemas.openxmlformats.org/officeDocument/2006/relationships/chart" Target="../charts/chart19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6" Type="http://schemas.openxmlformats.org/officeDocument/2006/relationships/chart" Target="../charts/chart18.xml"/><Relationship Id="rId5" Type="http://schemas.openxmlformats.org/officeDocument/2006/relationships/chart" Target="../charts/chart17.xml"/><Relationship Id="rId10" Type="http://schemas.openxmlformats.org/officeDocument/2006/relationships/chart" Target="../charts/chart22.xml"/><Relationship Id="rId4" Type="http://schemas.openxmlformats.org/officeDocument/2006/relationships/chart" Target="../charts/chart16.xml"/><Relationship Id="rId9" Type="http://schemas.openxmlformats.org/officeDocument/2006/relationships/chart" Target="../charts/chart2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449580</xdr:colOff>
      <xdr:row>42</xdr:row>
      <xdr:rowOff>87630</xdr:rowOff>
    </xdr:from>
    <xdr:to>
      <xdr:col>6</xdr:col>
      <xdr:colOff>426720</xdr:colOff>
      <xdr:row>54</xdr:row>
      <xdr:rowOff>106680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4466C99-882F-40E1-A38F-DEB597106EE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541020</xdr:colOff>
      <xdr:row>42</xdr:row>
      <xdr:rowOff>95250</xdr:rowOff>
    </xdr:from>
    <xdr:to>
      <xdr:col>10</xdr:col>
      <xdr:colOff>342900</xdr:colOff>
      <xdr:row>54</xdr:row>
      <xdr:rowOff>30480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BA48FB4-D5BE-40C7-A54A-75555C5580E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464820</xdr:colOff>
      <xdr:row>42</xdr:row>
      <xdr:rowOff>99060</xdr:rowOff>
    </xdr:from>
    <xdr:to>
      <xdr:col>12</xdr:col>
      <xdr:colOff>716280</xdr:colOff>
      <xdr:row>54</xdr:row>
      <xdr:rowOff>34290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8A991AB5-5838-4603-A89E-9B6B44836A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495300</xdr:colOff>
      <xdr:row>57</xdr:row>
      <xdr:rowOff>26670</xdr:rowOff>
    </xdr:from>
    <xdr:to>
      <xdr:col>12</xdr:col>
      <xdr:colOff>0</xdr:colOff>
      <xdr:row>72</xdr:row>
      <xdr:rowOff>26670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9AC9F9BE-09BE-4BA0-A2A2-24D6740479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487680</xdr:colOff>
      <xdr:row>57</xdr:row>
      <xdr:rowOff>34290</xdr:rowOff>
    </xdr:from>
    <xdr:to>
      <xdr:col>6</xdr:col>
      <xdr:colOff>411480</xdr:colOff>
      <xdr:row>72</xdr:row>
      <xdr:rowOff>34290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7A63510C-DF5B-48BB-8EFE-C92460AE19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13</xdr:col>
      <xdr:colOff>259080</xdr:colOff>
      <xdr:row>85</xdr:row>
      <xdr:rowOff>110490</xdr:rowOff>
    </xdr:from>
    <xdr:to>
      <xdr:col>18</xdr:col>
      <xdr:colOff>205740</xdr:colOff>
      <xdr:row>97</xdr:row>
      <xdr:rowOff>15240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1C729651-633E-4427-97A4-7B6D20C8B7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13</xdr:col>
      <xdr:colOff>259080</xdr:colOff>
      <xdr:row>75</xdr:row>
      <xdr:rowOff>11430</xdr:rowOff>
    </xdr:from>
    <xdr:to>
      <xdr:col>18</xdr:col>
      <xdr:colOff>114300</xdr:colOff>
      <xdr:row>85</xdr:row>
      <xdr:rowOff>68580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E6CAB2D6-67B7-4EFE-9823-7D32220BA92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11</xdr:col>
      <xdr:colOff>152400</xdr:colOff>
      <xdr:row>79</xdr:row>
      <xdr:rowOff>49530</xdr:rowOff>
    </xdr:from>
    <xdr:to>
      <xdr:col>12</xdr:col>
      <xdr:colOff>624840</xdr:colOff>
      <xdr:row>92</xdr:row>
      <xdr:rowOff>60960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373D6971-BAB8-4C8B-91D2-D0FF84DEAC9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12</xdr:col>
      <xdr:colOff>0</xdr:colOff>
      <xdr:row>57</xdr:row>
      <xdr:rowOff>22860</xdr:rowOff>
    </xdr:from>
    <xdr:to>
      <xdr:col>16</xdr:col>
      <xdr:colOff>457200</xdr:colOff>
      <xdr:row>72</xdr:row>
      <xdr:rowOff>15240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6D53AF72-CCAA-4B10-B9C4-3560F3A4B9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13</xdr:col>
      <xdr:colOff>91440</xdr:colOff>
      <xdr:row>25</xdr:row>
      <xdr:rowOff>64770</xdr:rowOff>
    </xdr:from>
    <xdr:to>
      <xdr:col>16</xdr:col>
      <xdr:colOff>518160</xdr:colOff>
      <xdr:row>40</xdr:row>
      <xdr:rowOff>64770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EDCBD301-DD3C-4F7B-9580-73BB54FA444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16</xdr:col>
      <xdr:colOff>563880</xdr:colOff>
      <xdr:row>25</xdr:row>
      <xdr:rowOff>60960</xdr:rowOff>
    </xdr:from>
    <xdr:to>
      <xdr:col>20</xdr:col>
      <xdr:colOff>381000</xdr:colOff>
      <xdr:row>40</xdr:row>
      <xdr:rowOff>60960</xdr:rowOff>
    </xdr:to>
    <xdr:graphicFrame macro="">
      <xdr:nvGraphicFramePr>
        <xdr:cNvPr id="23" name="Chart 22">
          <a:extLst>
            <a:ext uri="{FF2B5EF4-FFF2-40B4-BE49-F238E27FC236}">
              <a16:creationId xmlns:a16="http://schemas.microsoft.com/office/drawing/2014/main" id="{3958A14D-05A8-49DA-8279-196A371050D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15</xdr:col>
      <xdr:colOff>30480</xdr:colOff>
      <xdr:row>40</xdr:row>
      <xdr:rowOff>22860</xdr:rowOff>
    </xdr:from>
    <xdr:to>
      <xdr:col>18</xdr:col>
      <xdr:colOff>457200</xdr:colOff>
      <xdr:row>54</xdr:row>
      <xdr:rowOff>129540</xdr:rowOff>
    </xdr:to>
    <xdr:graphicFrame macro="">
      <xdr:nvGraphicFramePr>
        <xdr:cNvPr id="24" name="Chart 23">
          <a:extLst>
            <a:ext uri="{FF2B5EF4-FFF2-40B4-BE49-F238E27FC236}">
              <a16:creationId xmlns:a16="http://schemas.microsoft.com/office/drawing/2014/main" id="{118C8B8F-F6BC-4CA1-BC6E-99FC0B754AE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304800</xdr:colOff>
      <xdr:row>8</xdr:row>
      <xdr:rowOff>26670</xdr:rowOff>
    </xdr:from>
    <xdr:to>
      <xdr:col>23</xdr:col>
      <xdr:colOff>0</xdr:colOff>
      <xdr:row>22</xdr:row>
      <xdr:rowOff>26670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C344019-3CC4-4DF0-B1E2-DF98CAC1B79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312420</xdr:colOff>
      <xdr:row>18</xdr:row>
      <xdr:rowOff>152400</xdr:rowOff>
    </xdr:from>
    <xdr:to>
      <xdr:col>15</xdr:col>
      <xdr:colOff>83820</xdr:colOff>
      <xdr:row>28</xdr:row>
      <xdr:rowOff>179070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17D1E29-03FE-4253-8390-DE9569E2E5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83820</xdr:colOff>
      <xdr:row>35</xdr:row>
      <xdr:rowOff>3810</xdr:rowOff>
    </xdr:from>
    <xdr:to>
      <xdr:col>21</xdr:col>
      <xdr:colOff>228600</xdr:colOff>
      <xdr:row>46</xdr:row>
      <xdr:rowOff>99060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800BCA49-3BC7-463E-9A7D-CC75FF4CD77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289560</xdr:colOff>
      <xdr:row>34</xdr:row>
      <xdr:rowOff>163830</xdr:rowOff>
    </xdr:from>
    <xdr:to>
      <xdr:col>15</xdr:col>
      <xdr:colOff>510540</xdr:colOff>
      <xdr:row>49</xdr:row>
      <xdr:rowOff>163830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CA6461AB-D571-4D3F-B669-45BE1AEAE0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472440</xdr:colOff>
      <xdr:row>19</xdr:row>
      <xdr:rowOff>45720</xdr:rowOff>
    </xdr:from>
    <xdr:to>
      <xdr:col>11</xdr:col>
      <xdr:colOff>83820</xdr:colOff>
      <xdr:row>29</xdr:row>
      <xdr:rowOff>102870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19AC9788-F9C9-46AE-8ECF-F462343DD7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10</xdr:col>
      <xdr:colOff>106680</xdr:colOff>
      <xdr:row>59</xdr:row>
      <xdr:rowOff>125730</xdr:rowOff>
    </xdr:from>
    <xdr:to>
      <xdr:col>15</xdr:col>
      <xdr:colOff>586740</xdr:colOff>
      <xdr:row>74</xdr:row>
      <xdr:rowOff>76200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2F0E34D1-0B46-414E-BD16-B76208D8AC8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11</xdr:col>
      <xdr:colOff>198120</xdr:colOff>
      <xdr:row>80</xdr:row>
      <xdr:rowOff>102870</xdr:rowOff>
    </xdr:from>
    <xdr:to>
      <xdr:col>15</xdr:col>
      <xdr:colOff>464820</xdr:colOff>
      <xdr:row>92</xdr:row>
      <xdr:rowOff>121920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ADF4946C-FF97-4098-AC39-F25BE77BCBC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16</xdr:col>
      <xdr:colOff>114300</xdr:colOff>
      <xdr:row>59</xdr:row>
      <xdr:rowOff>102870</xdr:rowOff>
    </xdr:from>
    <xdr:to>
      <xdr:col>22</xdr:col>
      <xdr:colOff>259080</xdr:colOff>
      <xdr:row>74</xdr:row>
      <xdr:rowOff>102870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D3AF9767-66E9-4539-81E7-4BDFDDD652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15</xdr:col>
      <xdr:colOff>571500</xdr:colOff>
      <xdr:row>80</xdr:row>
      <xdr:rowOff>68580</xdr:rowOff>
    </xdr:from>
    <xdr:to>
      <xdr:col>21</xdr:col>
      <xdr:colOff>68580</xdr:colOff>
      <xdr:row>93</xdr:row>
      <xdr:rowOff>133350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43DE6B9F-976F-4454-8F5F-58F01BEFDC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16</xdr:col>
      <xdr:colOff>38100</xdr:colOff>
      <xdr:row>94</xdr:row>
      <xdr:rowOff>15240</xdr:rowOff>
    </xdr:from>
    <xdr:to>
      <xdr:col>21</xdr:col>
      <xdr:colOff>45720</xdr:colOff>
      <xdr:row>107</xdr:row>
      <xdr:rowOff>49530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6494E92E-F20B-4843-94D8-8E7DD7492D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167640</xdr:colOff>
      <xdr:row>20</xdr:row>
      <xdr:rowOff>106680</xdr:rowOff>
    </xdr:from>
    <xdr:to>
      <xdr:col>6</xdr:col>
      <xdr:colOff>274320</xdr:colOff>
      <xdr:row>29</xdr:row>
      <xdr:rowOff>57150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003D171-0728-441F-B32B-77BD9C8262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1345A4-1235-4D7D-B3CD-D704CFABE0BB}">
  <dimension ref="A1:T101"/>
  <sheetViews>
    <sheetView topLeftCell="A85" workbookViewId="0">
      <selection activeCell="Q116" sqref="Q116"/>
    </sheetView>
  </sheetViews>
  <sheetFormatPr defaultRowHeight="14.4" x14ac:dyDescent="0.3"/>
  <cols>
    <col min="13" max="13" width="12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2" t="s">
        <v>11</v>
      </c>
    </row>
    <row r="2" spans="1:12" x14ac:dyDescent="0.3">
      <c r="A2">
        <v>16384</v>
      </c>
      <c r="B2">
        <v>4</v>
      </c>
      <c r="C2">
        <v>1</v>
      </c>
      <c r="D2">
        <v>16</v>
      </c>
      <c r="E2">
        <v>1.3355999999999999</v>
      </c>
      <c r="F2">
        <v>1.075E-3</v>
      </c>
      <c r="G2">
        <v>2.1000000000000001E-4</v>
      </c>
      <c r="H2">
        <v>7.8399999999999997E-4</v>
      </c>
      <c r="I2">
        <v>0</v>
      </c>
      <c r="J2">
        <v>1.6899999999999999E-4</v>
      </c>
      <c r="K2">
        <f t="shared" ref="K2:K18" si="0">ROUND(G2/F2,2)</f>
        <v>0.2</v>
      </c>
      <c r="L2">
        <f t="shared" ref="L2:L18" si="1">ROUND(H2/F2,2)</f>
        <v>0.73</v>
      </c>
    </row>
    <row r="3" spans="1:12" x14ac:dyDescent="0.3">
      <c r="A3">
        <v>16384</v>
      </c>
      <c r="B3">
        <v>4</v>
      </c>
      <c r="C3">
        <v>0</v>
      </c>
      <c r="D3">
        <v>64</v>
      </c>
      <c r="E3">
        <v>1.30698</v>
      </c>
      <c r="F3">
        <v>1.036E-3</v>
      </c>
      <c r="G3">
        <v>5.8E-4</v>
      </c>
      <c r="H3">
        <v>3.6900000000000002E-4</v>
      </c>
      <c r="I3">
        <v>0</v>
      </c>
      <c r="J3">
        <v>5.3799999999999996E-4</v>
      </c>
      <c r="K3">
        <f t="shared" si="0"/>
        <v>0.56000000000000005</v>
      </c>
      <c r="L3">
        <f t="shared" si="1"/>
        <v>0.36</v>
      </c>
    </row>
    <row r="4" spans="1:12" x14ac:dyDescent="0.3">
      <c r="A4">
        <v>65536</v>
      </c>
      <c r="B4">
        <v>5</v>
      </c>
      <c r="C4">
        <v>1</v>
      </c>
      <c r="D4">
        <v>16</v>
      </c>
      <c r="E4">
        <v>4.2771400000000002</v>
      </c>
      <c r="F4">
        <v>3.7490000000000002E-3</v>
      </c>
      <c r="G4">
        <v>6.6799999999999997E-4</v>
      </c>
      <c r="H4">
        <v>2.9459999999999998E-3</v>
      </c>
      <c r="I4">
        <v>0</v>
      </c>
      <c r="J4">
        <v>6.0999999999999997E-4</v>
      </c>
      <c r="K4">
        <f t="shared" si="0"/>
        <v>0.18</v>
      </c>
      <c r="L4">
        <f t="shared" si="1"/>
        <v>0.79</v>
      </c>
    </row>
    <row r="5" spans="1:12" x14ac:dyDescent="0.3">
      <c r="A5">
        <v>65536</v>
      </c>
      <c r="B5">
        <v>5</v>
      </c>
      <c r="C5">
        <v>0</v>
      </c>
      <c r="D5">
        <v>64</v>
      </c>
      <c r="E5">
        <v>4.6695000000000002</v>
      </c>
      <c r="F5">
        <v>4.117E-3</v>
      </c>
      <c r="G5">
        <v>2.4780000000000002E-3</v>
      </c>
      <c r="H5">
        <v>1.4840000000000001E-3</v>
      </c>
      <c r="I5">
        <v>0</v>
      </c>
      <c r="J5">
        <v>2.4009999999999999E-3</v>
      </c>
      <c r="K5">
        <f t="shared" si="0"/>
        <v>0.6</v>
      </c>
      <c r="L5">
        <f t="shared" si="1"/>
        <v>0.36</v>
      </c>
    </row>
    <row r="6" spans="1:12" x14ac:dyDescent="0.3">
      <c r="A6">
        <v>65536</v>
      </c>
      <c r="B6">
        <v>5</v>
      </c>
      <c r="C6">
        <v>-1</v>
      </c>
      <c r="D6">
        <v>256</v>
      </c>
      <c r="E6">
        <v>12.227119999999999</v>
      </c>
      <c r="F6">
        <v>1.1505E-2</v>
      </c>
      <c r="G6">
        <v>9.9439999999999997E-3</v>
      </c>
      <c r="H6">
        <v>1.389E-3</v>
      </c>
      <c r="I6">
        <v>0</v>
      </c>
      <c r="J6">
        <v>9.8670000000000008E-3</v>
      </c>
      <c r="K6">
        <f t="shared" si="0"/>
        <v>0.86</v>
      </c>
      <c r="L6">
        <f t="shared" si="1"/>
        <v>0.12</v>
      </c>
    </row>
    <row r="7" spans="1:12" x14ac:dyDescent="0.3">
      <c r="A7">
        <v>262144</v>
      </c>
      <c r="B7">
        <v>6</v>
      </c>
      <c r="C7">
        <v>1</v>
      </c>
      <c r="D7">
        <v>16</v>
      </c>
      <c r="E7">
        <v>14.894819999999999</v>
      </c>
      <c r="F7">
        <v>1.3905000000000001E-2</v>
      </c>
      <c r="G7">
        <v>2.2100000000000002E-3</v>
      </c>
      <c r="H7">
        <v>1.1535999999999999E-2</v>
      </c>
      <c r="I7">
        <v>0</v>
      </c>
      <c r="J7">
        <v>2.1359999999999999E-3</v>
      </c>
      <c r="K7">
        <f t="shared" si="0"/>
        <v>0.16</v>
      </c>
      <c r="L7">
        <f t="shared" si="1"/>
        <v>0.83</v>
      </c>
    </row>
    <row r="8" spans="1:12" x14ac:dyDescent="0.3">
      <c r="A8">
        <v>262144</v>
      </c>
      <c r="B8">
        <v>6</v>
      </c>
      <c r="C8">
        <v>0</v>
      </c>
      <c r="D8">
        <v>64</v>
      </c>
      <c r="E8">
        <v>17.070920000000001</v>
      </c>
      <c r="F8">
        <v>1.6060999999999999E-2</v>
      </c>
      <c r="G8">
        <v>9.443E-3</v>
      </c>
      <c r="H8">
        <v>6.4599999999999996E-3</v>
      </c>
      <c r="I8">
        <v>0</v>
      </c>
      <c r="J8">
        <v>9.3640000000000008E-3</v>
      </c>
      <c r="K8">
        <f t="shared" si="0"/>
        <v>0.59</v>
      </c>
      <c r="L8">
        <f t="shared" si="1"/>
        <v>0.4</v>
      </c>
    </row>
    <row r="9" spans="1:12" x14ac:dyDescent="0.3">
      <c r="A9">
        <v>262144</v>
      </c>
      <c r="B9">
        <v>6</v>
      </c>
      <c r="C9">
        <v>-1</v>
      </c>
      <c r="D9">
        <v>256</v>
      </c>
      <c r="E9">
        <v>40.15598</v>
      </c>
      <c r="F9">
        <v>3.9104E-2</v>
      </c>
      <c r="G9">
        <v>3.4377999999999999E-2</v>
      </c>
      <c r="H9">
        <v>4.5519999999999996E-3</v>
      </c>
      <c r="I9">
        <v>0</v>
      </c>
      <c r="J9">
        <v>3.4289E-2</v>
      </c>
      <c r="K9">
        <f t="shared" si="0"/>
        <v>0.88</v>
      </c>
      <c r="L9">
        <f t="shared" si="1"/>
        <v>0.12</v>
      </c>
    </row>
    <row r="10" spans="1:12" x14ac:dyDescent="0.3">
      <c r="A10">
        <v>1048576</v>
      </c>
      <c r="B10">
        <v>7</v>
      </c>
      <c r="C10">
        <v>1</v>
      </c>
      <c r="D10">
        <v>16</v>
      </c>
      <c r="E10">
        <v>58.040900000000001</v>
      </c>
      <c r="F10">
        <v>5.5515000000000002E-2</v>
      </c>
      <c r="G10">
        <v>8.548E-3</v>
      </c>
      <c r="H10">
        <v>4.6800000000000001E-2</v>
      </c>
      <c r="I10">
        <v>0</v>
      </c>
      <c r="J10">
        <v>8.4729999999999996E-3</v>
      </c>
      <c r="K10">
        <f t="shared" si="0"/>
        <v>0.15</v>
      </c>
      <c r="L10">
        <f t="shared" si="1"/>
        <v>0.84</v>
      </c>
    </row>
    <row r="11" spans="1:12" x14ac:dyDescent="0.3">
      <c r="A11">
        <v>1048576</v>
      </c>
      <c r="B11">
        <v>7</v>
      </c>
      <c r="C11">
        <v>0</v>
      </c>
      <c r="D11">
        <v>64</v>
      </c>
      <c r="E11">
        <v>58.644979999999997</v>
      </c>
      <c r="F11">
        <v>5.6090000000000001E-2</v>
      </c>
      <c r="G11">
        <v>3.3030999999999998E-2</v>
      </c>
      <c r="H11">
        <v>2.2897000000000001E-2</v>
      </c>
      <c r="I11">
        <v>0</v>
      </c>
      <c r="J11">
        <v>3.2953000000000003E-2</v>
      </c>
      <c r="K11">
        <f t="shared" si="0"/>
        <v>0.59</v>
      </c>
      <c r="L11">
        <f t="shared" si="1"/>
        <v>0.41</v>
      </c>
    </row>
    <row r="12" spans="1:12" x14ac:dyDescent="0.3">
      <c r="A12">
        <v>1048576</v>
      </c>
      <c r="B12">
        <v>7</v>
      </c>
      <c r="C12">
        <v>-1</v>
      </c>
      <c r="D12">
        <v>256</v>
      </c>
      <c r="E12">
        <v>151.94820000000001</v>
      </c>
      <c r="F12">
        <v>0.14938199999999999</v>
      </c>
      <c r="G12">
        <v>0.13211600000000001</v>
      </c>
      <c r="H12">
        <v>1.7097000000000001E-2</v>
      </c>
      <c r="I12">
        <v>0</v>
      </c>
      <c r="J12">
        <v>0.132026</v>
      </c>
      <c r="K12">
        <f t="shared" si="0"/>
        <v>0.88</v>
      </c>
      <c r="L12">
        <f t="shared" si="1"/>
        <v>0.11</v>
      </c>
    </row>
    <row r="13" spans="1:12" x14ac:dyDescent="0.3">
      <c r="A13">
        <v>4194304</v>
      </c>
      <c r="B13">
        <v>8</v>
      </c>
      <c r="C13">
        <v>1</v>
      </c>
      <c r="D13">
        <v>16</v>
      </c>
      <c r="E13">
        <v>227.68804</v>
      </c>
      <c r="F13">
        <v>0.21864800000000001</v>
      </c>
      <c r="G13">
        <v>3.3181000000000002E-2</v>
      </c>
      <c r="H13">
        <v>0.185277</v>
      </c>
      <c r="I13">
        <v>0</v>
      </c>
      <c r="J13">
        <v>3.3106999999999998E-2</v>
      </c>
      <c r="K13">
        <f t="shared" si="0"/>
        <v>0.15</v>
      </c>
      <c r="L13">
        <f t="shared" si="1"/>
        <v>0.85</v>
      </c>
    </row>
    <row r="14" spans="1:12" x14ac:dyDescent="0.3">
      <c r="A14">
        <v>4194304</v>
      </c>
      <c r="B14">
        <v>8</v>
      </c>
      <c r="C14">
        <v>0</v>
      </c>
      <c r="D14">
        <v>64</v>
      </c>
      <c r="E14">
        <v>234.68845999999999</v>
      </c>
      <c r="F14">
        <v>0.225745</v>
      </c>
      <c r="G14">
        <v>0.13181899999999999</v>
      </c>
      <c r="H14">
        <v>9.3742000000000006E-2</v>
      </c>
      <c r="I14">
        <v>0</v>
      </c>
      <c r="J14">
        <v>0.13173299999999999</v>
      </c>
      <c r="K14">
        <f t="shared" si="0"/>
        <v>0.57999999999999996</v>
      </c>
      <c r="L14">
        <f t="shared" si="1"/>
        <v>0.42</v>
      </c>
    </row>
    <row r="15" spans="1:12" x14ac:dyDescent="0.3">
      <c r="A15">
        <v>4194304</v>
      </c>
      <c r="B15">
        <v>8</v>
      </c>
      <c r="C15">
        <v>-1</v>
      </c>
      <c r="D15">
        <v>256</v>
      </c>
      <c r="E15">
        <v>610.77485999999999</v>
      </c>
      <c r="F15">
        <v>0.60160499999999995</v>
      </c>
      <c r="G15">
        <v>0.53128799999999998</v>
      </c>
      <c r="H15">
        <v>7.0126999999999995E-2</v>
      </c>
      <c r="I15">
        <v>0</v>
      </c>
      <c r="J15">
        <v>0.53119499999999997</v>
      </c>
      <c r="K15">
        <f t="shared" si="0"/>
        <v>0.88</v>
      </c>
      <c r="L15">
        <f t="shared" si="1"/>
        <v>0.12</v>
      </c>
    </row>
    <row r="16" spans="1:12" x14ac:dyDescent="0.3">
      <c r="A16">
        <v>16777216</v>
      </c>
      <c r="B16">
        <v>9</v>
      </c>
      <c r="C16">
        <v>1</v>
      </c>
      <c r="D16">
        <v>16</v>
      </c>
      <c r="E16">
        <v>900.38696000000004</v>
      </c>
      <c r="F16">
        <v>0.86667799999999995</v>
      </c>
      <c r="G16">
        <v>0.13195399999999999</v>
      </c>
      <c r="H16">
        <v>0.73451999999999995</v>
      </c>
      <c r="I16">
        <v>0</v>
      </c>
      <c r="J16">
        <v>0.13187099999999999</v>
      </c>
      <c r="K16">
        <f t="shared" si="0"/>
        <v>0.15</v>
      </c>
      <c r="L16">
        <f t="shared" si="1"/>
        <v>0.85</v>
      </c>
    </row>
    <row r="17" spans="1:20" x14ac:dyDescent="0.3">
      <c r="A17">
        <v>16777216</v>
      </c>
      <c r="B17">
        <v>9</v>
      </c>
      <c r="C17">
        <v>0</v>
      </c>
      <c r="D17">
        <v>64</v>
      </c>
      <c r="E17">
        <v>927.75198</v>
      </c>
      <c r="F17">
        <v>0.89343600000000001</v>
      </c>
      <c r="G17">
        <v>0.52655700000000005</v>
      </c>
      <c r="H17">
        <v>0.36667699999999998</v>
      </c>
      <c r="I17">
        <v>0</v>
      </c>
      <c r="J17">
        <v>0.52646400000000004</v>
      </c>
      <c r="K17">
        <f t="shared" si="0"/>
        <v>0.59</v>
      </c>
      <c r="L17">
        <f t="shared" si="1"/>
        <v>0.41</v>
      </c>
    </row>
    <row r="18" spans="1:20" x14ac:dyDescent="0.3">
      <c r="A18">
        <v>16777216</v>
      </c>
      <c r="B18">
        <v>9</v>
      </c>
      <c r="C18">
        <v>-1</v>
      </c>
      <c r="D18">
        <v>256</v>
      </c>
      <c r="E18">
        <v>2444.6527000000001</v>
      </c>
      <c r="F18">
        <v>2.4096069999999998</v>
      </c>
      <c r="G18">
        <v>2.1346289999999999</v>
      </c>
      <c r="H18">
        <v>0.27477200000000002</v>
      </c>
      <c r="I18">
        <v>0</v>
      </c>
      <c r="J18">
        <v>2.1345339999999999</v>
      </c>
      <c r="K18">
        <f t="shared" si="0"/>
        <v>0.89</v>
      </c>
      <c r="L18">
        <f t="shared" si="1"/>
        <v>0.11</v>
      </c>
    </row>
    <row r="21" spans="1:20" x14ac:dyDescent="0.3">
      <c r="A21" s="19" t="s">
        <v>25</v>
      </c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</row>
    <row r="24" spans="1:20" x14ac:dyDescent="0.3">
      <c r="A24" t="s">
        <v>18</v>
      </c>
    </row>
    <row r="25" spans="1:20" x14ac:dyDescent="0.3">
      <c r="A25" t="s">
        <v>0</v>
      </c>
      <c r="B25" t="s">
        <v>1</v>
      </c>
      <c r="C25" t="s">
        <v>2</v>
      </c>
      <c r="D25" t="s">
        <v>3</v>
      </c>
      <c r="E25" s="1" t="s">
        <v>4</v>
      </c>
      <c r="F25" s="1" t="s">
        <v>5</v>
      </c>
      <c r="G25" s="1" t="s">
        <v>6</v>
      </c>
      <c r="H25" s="1" t="s">
        <v>7</v>
      </c>
      <c r="I25" s="1" t="s">
        <v>28</v>
      </c>
      <c r="J25" s="1" t="s">
        <v>9</v>
      </c>
      <c r="K25" s="2" t="s">
        <v>10</v>
      </c>
      <c r="L25" s="2" t="s">
        <v>11</v>
      </c>
      <c r="M25" t="s">
        <v>24</v>
      </c>
    </row>
    <row r="26" spans="1:20" x14ac:dyDescent="0.3">
      <c r="A26">
        <v>16384</v>
      </c>
      <c r="B26">
        <v>4</v>
      </c>
      <c r="C26">
        <v>1</v>
      </c>
      <c r="D26">
        <v>16</v>
      </c>
      <c r="E26">
        <v>1.3355999999999999</v>
      </c>
      <c r="F26">
        <v>1.075E-3</v>
      </c>
      <c r="G26">
        <v>2.1000000000000001E-4</v>
      </c>
      <c r="H26">
        <v>7.8399999999999997E-4</v>
      </c>
      <c r="I26">
        <f>F26-(G26+H26)</f>
        <v>8.0999999999999909E-5</v>
      </c>
      <c r="J26">
        <v>1.6899999999999999E-4</v>
      </c>
      <c r="K26">
        <f t="shared" ref="K26:K42" si="2">ROUND(G26/F26,2)</f>
        <v>0.2</v>
      </c>
      <c r="L26">
        <f t="shared" ref="L26:L42" si="3">ROUND(H26/F26,2)</f>
        <v>0.73</v>
      </c>
      <c r="M26">
        <f>0.35*LOG(D26,4)-0.5</f>
        <v>0.19999999999999996</v>
      </c>
    </row>
    <row r="27" spans="1:20" x14ac:dyDescent="0.3">
      <c r="A27">
        <v>65536</v>
      </c>
      <c r="B27">
        <v>5</v>
      </c>
      <c r="C27">
        <v>1</v>
      </c>
      <c r="D27">
        <v>16</v>
      </c>
      <c r="E27">
        <v>4.2771400000000002</v>
      </c>
      <c r="F27">
        <v>3.7490000000000002E-3</v>
      </c>
      <c r="G27">
        <v>6.6799999999999997E-4</v>
      </c>
      <c r="H27">
        <v>2.9459999999999998E-3</v>
      </c>
      <c r="I27">
        <f t="shared" ref="I27:I42" si="4">F27-(G27+H27)</f>
        <v>1.3500000000000014E-4</v>
      </c>
      <c r="J27">
        <v>6.0999999999999997E-4</v>
      </c>
      <c r="K27">
        <f t="shared" si="2"/>
        <v>0.18</v>
      </c>
      <c r="L27">
        <f t="shared" si="3"/>
        <v>0.79</v>
      </c>
      <c r="M27">
        <f t="shared" ref="M27:M42" si="5">0.35*LOG(D27,4)-0.5</f>
        <v>0.19999999999999996</v>
      </c>
    </row>
    <row r="28" spans="1:20" x14ac:dyDescent="0.3">
      <c r="A28">
        <v>262144</v>
      </c>
      <c r="B28">
        <v>6</v>
      </c>
      <c r="C28">
        <v>1</v>
      </c>
      <c r="D28">
        <v>16</v>
      </c>
      <c r="E28">
        <v>14.894819999999999</v>
      </c>
      <c r="F28">
        <v>1.3905000000000001E-2</v>
      </c>
      <c r="G28">
        <v>2.2100000000000002E-3</v>
      </c>
      <c r="H28">
        <v>1.1535999999999999E-2</v>
      </c>
      <c r="I28">
        <f t="shared" si="4"/>
        <v>1.5900000000000115E-4</v>
      </c>
      <c r="J28">
        <v>2.1359999999999999E-3</v>
      </c>
      <c r="K28">
        <f t="shared" si="2"/>
        <v>0.16</v>
      </c>
      <c r="L28">
        <f t="shared" si="3"/>
        <v>0.83</v>
      </c>
      <c r="M28">
        <f t="shared" si="5"/>
        <v>0.19999999999999996</v>
      </c>
    </row>
    <row r="29" spans="1:20" x14ac:dyDescent="0.3">
      <c r="A29">
        <v>1048576</v>
      </c>
      <c r="B29">
        <v>7</v>
      </c>
      <c r="C29">
        <v>1</v>
      </c>
      <c r="D29">
        <v>16</v>
      </c>
      <c r="E29">
        <v>58.040900000000001</v>
      </c>
      <c r="F29">
        <v>5.5515000000000002E-2</v>
      </c>
      <c r="G29">
        <v>8.548E-3</v>
      </c>
      <c r="H29">
        <v>4.6800000000000001E-2</v>
      </c>
      <c r="I29">
        <f t="shared" si="4"/>
        <v>1.6700000000000048E-4</v>
      </c>
      <c r="J29">
        <v>8.4729999999999996E-3</v>
      </c>
      <c r="K29">
        <f t="shared" si="2"/>
        <v>0.15</v>
      </c>
      <c r="L29">
        <f t="shared" si="3"/>
        <v>0.84</v>
      </c>
      <c r="M29">
        <f t="shared" si="5"/>
        <v>0.19999999999999996</v>
      </c>
    </row>
    <row r="30" spans="1:20" x14ac:dyDescent="0.3">
      <c r="A30">
        <v>4194304</v>
      </c>
      <c r="B30">
        <v>8</v>
      </c>
      <c r="C30">
        <v>1</v>
      </c>
      <c r="D30">
        <v>16</v>
      </c>
      <c r="E30">
        <v>227.68804</v>
      </c>
      <c r="F30">
        <v>0.21864800000000001</v>
      </c>
      <c r="G30">
        <v>3.3181000000000002E-2</v>
      </c>
      <c r="H30">
        <v>0.185277</v>
      </c>
      <c r="I30">
        <f t="shared" si="4"/>
        <v>1.9000000000002348E-4</v>
      </c>
      <c r="J30">
        <v>3.3106999999999998E-2</v>
      </c>
      <c r="K30">
        <f t="shared" si="2"/>
        <v>0.15</v>
      </c>
      <c r="L30">
        <f t="shared" si="3"/>
        <v>0.85</v>
      </c>
      <c r="M30">
        <f t="shared" si="5"/>
        <v>0.19999999999999996</v>
      </c>
    </row>
    <row r="31" spans="1:20" x14ac:dyDescent="0.3">
      <c r="A31">
        <v>16777216</v>
      </c>
      <c r="B31">
        <v>9</v>
      </c>
      <c r="C31">
        <v>1</v>
      </c>
      <c r="D31">
        <v>16</v>
      </c>
      <c r="E31">
        <v>900.38696000000004</v>
      </c>
      <c r="F31">
        <v>0.86667799999999995</v>
      </c>
      <c r="G31">
        <v>0.13195399999999999</v>
      </c>
      <c r="H31">
        <v>0.73451999999999995</v>
      </c>
      <c r="I31">
        <f t="shared" si="4"/>
        <v>2.0399999999998197E-4</v>
      </c>
      <c r="J31">
        <v>0.13187099999999999</v>
      </c>
      <c r="K31">
        <f t="shared" si="2"/>
        <v>0.15</v>
      </c>
      <c r="L31">
        <f t="shared" si="3"/>
        <v>0.85</v>
      </c>
      <c r="M31">
        <f t="shared" si="5"/>
        <v>0.19999999999999996</v>
      </c>
    </row>
    <row r="32" spans="1:20" x14ac:dyDescent="0.3">
      <c r="A32">
        <v>16384</v>
      </c>
      <c r="B32">
        <v>4</v>
      </c>
      <c r="C32">
        <v>0</v>
      </c>
      <c r="D32">
        <v>64</v>
      </c>
      <c r="E32">
        <v>1.30698</v>
      </c>
      <c r="F32">
        <v>1.036E-3</v>
      </c>
      <c r="G32">
        <v>5.8E-4</v>
      </c>
      <c r="H32">
        <v>3.6900000000000002E-4</v>
      </c>
      <c r="I32">
        <f t="shared" si="4"/>
        <v>8.7000000000000055E-5</v>
      </c>
      <c r="J32">
        <v>5.3799999999999996E-4</v>
      </c>
      <c r="K32">
        <f t="shared" si="2"/>
        <v>0.56000000000000005</v>
      </c>
      <c r="L32">
        <f t="shared" si="3"/>
        <v>0.36</v>
      </c>
      <c r="M32">
        <f t="shared" si="5"/>
        <v>0.54999999999999982</v>
      </c>
    </row>
    <row r="33" spans="1:13" x14ac:dyDescent="0.3">
      <c r="A33">
        <v>65536</v>
      </c>
      <c r="B33">
        <v>5</v>
      </c>
      <c r="C33">
        <v>0</v>
      </c>
      <c r="D33">
        <v>64</v>
      </c>
      <c r="E33">
        <v>4.6695000000000002</v>
      </c>
      <c r="F33">
        <v>4.117E-3</v>
      </c>
      <c r="G33">
        <v>2.4780000000000002E-3</v>
      </c>
      <c r="H33">
        <v>1.4840000000000001E-3</v>
      </c>
      <c r="I33">
        <f t="shared" si="4"/>
        <v>1.5499999999999976E-4</v>
      </c>
      <c r="J33">
        <v>2.4009999999999999E-3</v>
      </c>
      <c r="K33">
        <f t="shared" si="2"/>
        <v>0.6</v>
      </c>
      <c r="L33">
        <f t="shared" si="3"/>
        <v>0.36</v>
      </c>
      <c r="M33">
        <f t="shared" si="5"/>
        <v>0.54999999999999982</v>
      </c>
    </row>
    <row r="34" spans="1:13" x14ac:dyDescent="0.3">
      <c r="A34">
        <v>262144</v>
      </c>
      <c r="B34">
        <v>6</v>
      </c>
      <c r="C34">
        <v>0</v>
      </c>
      <c r="D34">
        <v>64</v>
      </c>
      <c r="E34">
        <v>17.070920000000001</v>
      </c>
      <c r="F34">
        <v>1.6060999999999999E-2</v>
      </c>
      <c r="G34">
        <v>9.443E-3</v>
      </c>
      <c r="H34">
        <v>6.4599999999999996E-3</v>
      </c>
      <c r="I34">
        <f t="shared" si="4"/>
        <v>1.5799999999999842E-4</v>
      </c>
      <c r="J34">
        <v>9.3640000000000008E-3</v>
      </c>
      <c r="K34">
        <f t="shared" si="2"/>
        <v>0.59</v>
      </c>
      <c r="L34">
        <f t="shared" si="3"/>
        <v>0.4</v>
      </c>
      <c r="M34">
        <f t="shared" si="5"/>
        <v>0.54999999999999982</v>
      </c>
    </row>
    <row r="35" spans="1:13" x14ac:dyDescent="0.3">
      <c r="A35">
        <v>1048576</v>
      </c>
      <c r="B35">
        <v>7</v>
      </c>
      <c r="C35">
        <v>0</v>
      </c>
      <c r="D35">
        <v>64</v>
      </c>
      <c r="E35">
        <v>58.644979999999997</v>
      </c>
      <c r="F35">
        <v>5.6090000000000001E-2</v>
      </c>
      <c r="G35">
        <v>3.3030999999999998E-2</v>
      </c>
      <c r="H35">
        <v>2.2897000000000001E-2</v>
      </c>
      <c r="I35">
        <f t="shared" si="4"/>
        <v>1.6200000000000242E-4</v>
      </c>
      <c r="J35">
        <v>3.2953000000000003E-2</v>
      </c>
      <c r="K35">
        <f t="shared" si="2"/>
        <v>0.59</v>
      </c>
      <c r="L35">
        <f t="shared" si="3"/>
        <v>0.41</v>
      </c>
      <c r="M35">
        <f t="shared" si="5"/>
        <v>0.54999999999999982</v>
      </c>
    </row>
    <row r="36" spans="1:13" x14ac:dyDescent="0.3">
      <c r="A36">
        <v>4194304</v>
      </c>
      <c r="B36">
        <v>8</v>
      </c>
      <c r="C36">
        <v>0</v>
      </c>
      <c r="D36">
        <v>64</v>
      </c>
      <c r="E36">
        <v>234.68845999999999</v>
      </c>
      <c r="F36">
        <v>0.225745</v>
      </c>
      <c r="G36">
        <v>0.13181899999999999</v>
      </c>
      <c r="H36">
        <v>9.3742000000000006E-2</v>
      </c>
      <c r="I36">
        <f t="shared" si="4"/>
        <v>1.8399999999998973E-4</v>
      </c>
      <c r="J36">
        <v>0.13173299999999999</v>
      </c>
      <c r="K36">
        <f t="shared" si="2"/>
        <v>0.57999999999999996</v>
      </c>
      <c r="L36">
        <f t="shared" si="3"/>
        <v>0.42</v>
      </c>
      <c r="M36">
        <f t="shared" si="5"/>
        <v>0.54999999999999982</v>
      </c>
    </row>
    <row r="37" spans="1:13" x14ac:dyDescent="0.3">
      <c r="A37">
        <v>16777216</v>
      </c>
      <c r="B37">
        <v>9</v>
      </c>
      <c r="C37">
        <v>0</v>
      </c>
      <c r="D37">
        <v>64</v>
      </c>
      <c r="E37">
        <v>927.75198</v>
      </c>
      <c r="F37">
        <v>0.89343600000000001</v>
      </c>
      <c r="G37">
        <v>0.52655700000000005</v>
      </c>
      <c r="H37">
        <v>0.36667699999999998</v>
      </c>
      <c r="I37">
        <f t="shared" si="4"/>
        <v>2.0199999999992446E-4</v>
      </c>
      <c r="J37">
        <v>0.52646400000000004</v>
      </c>
      <c r="K37">
        <f t="shared" si="2"/>
        <v>0.59</v>
      </c>
      <c r="L37">
        <f t="shared" si="3"/>
        <v>0.41</v>
      </c>
      <c r="M37">
        <f t="shared" si="5"/>
        <v>0.54999999999999982</v>
      </c>
    </row>
    <row r="38" spans="1:13" x14ac:dyDescent="0.3">
      <c r="A38">
        <v>65536</v>
      </c>
      <c r="B38">
        <v>5</v>
      </c>
      <c r="C38">
        <v>-1</v>
      </c>
      <c r="D38">
        <v>256</v>
      </c>
      <c r="E38">
        <v>12.227119999999999</v>
      </c>
      <c r="F38">
        <v>1.1505E-2</v>
      </c>
      <c r="G38">
        <v>9.9439999999999997E-3</v>
      </c>
      <c r="H38">
        <v>1.389E-3</v>
      </c>
      <c r="I38">
        <f t="shared" si="4"/>
        <v>1.7200000000000028E-4</v>
      </c>
      <c r="J38">
        <v>9.8670000000000008E-3</v>
      </c>
      <c r="K38">
        <f t="shared" si="2"/>
        <v>0.86</v>
      </c>
      <c r="L38">
        <f t="shared" si="3"/>
        <v>0.12</v>
      </c>
      <c r="M38">
        <f t="shared" si="5"/>
        <v>0.89999999999999991</v>
      </c>
    </row>
    <row r="39" spans="1:13" x14ac:dyDescent="0.3">
      <c r="A39">
        <v>262144</v>
      </c>
      <c r="B39">
        <v>6</v>
      </c>
      <c r="C39">
        <v>-1</v>
      </c>
      <c r="D39">
        <v>256</v>
      </c>
      <c r="E39">
        <v>40.15598</v>
      </c>
      <c r="F39">
        <v>3.9104E-2</v>
      </c>
      <c r="G39">
        <v>3.4377999999999999E-2</v>
      </c>
      <c r="H39">
        <v>4.5519999999999996E-3</v>
      </c>
      <c r="I39">
        <f t="shared" si="4"/>
        <v>1.7400000000000054E-4</v>
      </c>
      <c r="J39">
        <v>3.4289E-2</v>
      </c>
      <c r="K39">
        <f t="shared" si="2"/>
        <v>0.88</v>
      </c>
      <c r="L39">
        <f t="shared" si="3"/>
        <v>0.12</v>
      </c>
      <c r="M39">
        <f t="shared" si="5"/>
        <v>0.89999999999999991</v>
      </c>
    </row>
    <row r="40" spans="1:13" x14ac:dyDescent="0.3">
      <c r="A40">
        <v>1048576</v>
      </c>
      <c r="B40">
        <v>7</v>
      </c>
      <c r="C40">
        <v>-1</v>
      </c>
      <c r="D40">
        <v>256</v>
      </c>
      <c r="E40">
        <v>151.94820000000001</v>
      </c>
      <c r="F40">
        <v>0.14938199999999999</v>
      </c>
      <c r="G40">
        <v>0.13211600000000001</v>
      </c>
      <c r="H40">
        <v>1.7097000000000001E-2</v>
      </c>
      <c r="I40">
        <f t="shared" si="4"/>
        <v>1.6899999999997473E-4</v>
      </c>
      <c r="J40">
        <v>0.132026</v>
      </c>
      <c r="K40">
        <f t="shared" si="2"/>
        <v>0.88</v>
      </c>
      <c r="L40">
        <f t="shared" si="3"/>
        <v>0.11</v>
      </c>
      <c r="M40">
        <f t="shared" si="5"/>
        <v>0.89999999999999991</v>
      </c>
    </row>
    <row r="41" spans="1:13" x14ac:dyDescent="0.3">
      <c r="A41">
        <v>4194304</v>
      </c>
      <c r="B41">
        <v>8</v>
      </c>
      <c r="C41">
        <v>-1</v>
      </c>
      <c r="D41">
        <v>256</v>
      </c>
      <c r="E41">
        <v>610.77485999999999</v>
      </c>
      <c r="F41">
        <v>0.60160499999999995</v>
      </c>
      <c r="G41">
        <v>0.53128799999999998</v>
      </c>
      <c r="H41">
        <v>7.0126999999999995E-2</v>
      </c>
      <c r="I41">
        <f t="shared" si="4"/>
        <v>1.8999999999991246E-4</v>
      </c>
      <c r="J41">
        <v>0.53119499999999997</v>
      </c>
      <c r="K41">
        <f t="shared" si="2"/>
        <v>0.88</v>
      </c>
      <c r="L41">
        <f t="shared" si="3"/>
        <v>0.12</v>
      </c>
      <c r="M41">
        <f t="shared" si="5"/>
        <v>0.89999999999999991</v>
      </c>
    </row>
    <row r="42" spans="1:13" x14ac:dyDescent="0.3">
      <c r="A42">
        <v>16777216</v>
      </c>
      <c r="B42">
        <v>9</v>
      </c>
      <c r="C42">
        <v>-1</v>
      </c>
      <c r="D42">
        <v>256</v>
      </c>
      <c r="E42">
        <v>2444.6527000000001</v>
      </c>
      <c r="F42">
        <v>2.4096069999999998</v>
      </c>
      <c r="G42">
        <v>2.1346289999999999</v>
      </c>
      <c r="H42">
        <v>0.27477200000000002</v>
      </c>
      <c r="I42">
        <f t="shared" si="4"/>
        <v>2.0599999999992846E-4</v>
      </c>
      <c r="J42">
        <v>2.1345339999999999</v>
      </c>
      <c r="K42">
        <f t="shared" si="2"/>
        <v>0.89</v>
      </c>
      <c r="L42">
        <f t="shared" si="3"/>
        <v>0.11</v>
      </c>
      <c r="M42">
        <f t="shared" si="5"/>
        <v>0.89999999999999991</v>
      </c>
    </row>
    <row r="56" spans="1:20" x14ac:dyDescent="0.3">
      <c r="A56" s="19" t="s">
        <v>26</v>
      </c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</row>
    <row r="77" spans="1:10" x14ac:dyDescent="0.3">
      <c r="F77" t="s">
        <v>27</v>
      </c>
    </row>
    <row r="78" spans="1:10" x14ac:dyDescent="0.3">
      <c r="A78" t="s">
        <v>0</v>
      </c>
      <c r="B78" t="s">
        <v>3</v>
      </c>
      <c r="C78" t="s">
        <v>6</v>
      </c>
      <c r="D78" t="s">
        <v>7</v>
      </c>
      <c r="E78" t="s">
        <v>19</v>
      </c>
      <c r="F78" s="4" t="s">
        <v>20</v>
      </c>
      <c r="G78" t="s">
        <v>21</v>
      </c>
      <c r="H78" s="4" t="s">
        <v>20</v>
      </c>
      <c r="I78" t="s">
        <v>23</v>
      </c>
      <c r="J78" t="s">
        <v>22</v>
      </c>
    </row>
    <row r="79" spans="1:10" x14ac:dyDescent="0.3">
      <c r="A79">
        <v>16384</v>
      </c>
      <c r="B79">
        <v>16</v>
      </c>
      <c r="C79">
        <v>2.1000000000000001E-4</v>
      </c>
      <c r="D79">
        <v>7.8399999999999997E-4</v>
      </c>
      <c r="E79">
        <f>LOG(D79)</f>
        <v>-3.1056839373155616</v>
      </c>
      <c r="F79">
        <f>0.75*LOG(A79)-0.25*LOG(B79)-5.5</f>
        <v>-2.640215041192179</v>
      </c>
      <c r="G79" cm="1">
        <f t="array" ref="G79:G95">LOG(C79:C95)</f>
        <v>-3.6777807052660809</v>
      </c>
      <c r="H79">
        <f>0.75*LOG(A79)+0.25*LOG(B79)-6.5</f>
        <v>-3.0381550498642165</v>
      </c>
      <c r="I79">
        <f>C79/(C79+D79)</f>
        <v>0.21126760563380281</v>
      </c>
      <c r="J79">
        <f>POWER(10,H79)/(POWER(10,H79)+POWER(10,F79))</f>
        <v>0.28571428571428586</v>
      </c>
    </row>
    <row r="80" spans="1:10" x14ac:dyDescent="0.3">
      <c r="A80">
        <v>65536</v>
      </c>
      <c r="B80">
        <v>16</v>
      </c>
      <c r="C80">
        <v>6.6799999999999997E-4</v>
      </c>
      <c r="D80">
        <v>2.9459999999999998E-3</v>
      </c>
      <c r="E80">
        <f t="shared" ref="E80:E95" si="6">LOG(D80)</f>
        <v>-2.5307672574933879</v>
      </c>
      <c r="F80">
        <f t="shared" ref="F80:F95" si="7">0.75*LOG(A80)-0.25*LOG(B80)-5.5</f>
        <v>-2.1886700476962071</v>
      </c>
      <c r="G80">
        <v>-3.1752235375244542</v>
      </c>
      <c r="H80">
        <f t="shared" ref="H80:H95" si="8">0.75*LOG(A80)+0.25*LOG(B80)-6.5</f>
        <v>-2.5866100563682446</v>
      </c>
      <c r="I80">
        <f t="shared" ref="I80:I95" si="9">C80/(C80+D80)</f>
        <v>0.18483674598782512</v>
      </c>
      <c r="J80">
        <f t="shared" ref="J80:J95" si="10">POWER(10,H80)/(POWER(10,H80)+POWER(10,F80))</f>
        <v>0.28571428571428575</v>
      </c>
    </row>
    <row r="81" spans="1:10" x14ac:dyDescent="0.3">
      <c r="A81">
        <v>262144</v>
      </c>
      <c r="B81">
        <v>16</v>
      </c>
      <c r="C81">
        <v>2.2100000000000002E-3</v>
      </c>
      <c r="D81">
        <v>1.1535999999999999E-2</v>
      </c>
      <c r="E81">
        <f t="shared" si="6"/>
        <v>-1.9379447526246463</v>
      </c>
      <c r="F81">
        <f t="shared" si="7"/>
        <v>-1.7371250542002352</v>
      </c>
      <c r="G81">
        <v>-2.6556077263148894</v>
      </c>
      <c r="H81">
        <f t="shared" si="8"/>
        <v>-2.1350650628722727</v>
      </c>
      <c r="I81">
        <f t="shared" si="9"/>
        <v>0.16077404335806783</v>
      </c>
      <c r="J81">
        <f t="shared" si="10"/>
        <v>0.2857142857142857</v>
      </c>
    </row>
    <row r="82" spans="1:10" x14ac:dyDescent="0.3">
      <c r="A82">
        <v>1048576</v>
      </c>
      <c r="B82">
        <v>16</v>
      </c>
      <c r="C82">
        <v>8.548E-3</v>
      </c>
      <c r="D82">
        <v>4.6800000000000001E-2</v>
      </c>
      <c r="E82">
        <f t="shared" si="6"/>
        <v>-1.329754146925876</v>
      </c>
      <c r="F82">
        <f t="shared" si="7"/>
        <v>-1.2855800607042633</v>
      </c>
      <c r="G82">
        <v>-2.0681354865079684</v>
      </c>
      <c r="H82">
        <f t="shared" si="8"/>
        <v>-1.6835200693763008</v>
      </c>
      <c r="I82">
        <f t="shared" si="9"/>
        <v>0.15444099154440991</v>
      </c>
      <c r="J82">
        <f t="shared" si="10"/>
        <v>0.2857142857142857</v>
      </c>
    </row>
    <row r="83" spans="1:10" x14ac:dyDescent="0.3">
      <c r="A83">
        <v>4194304</v>
      </c>
      <c r="B83">
        <v>16</v>
      </c>
      <c r="C83">
        <v>3.3181000000000002E-2</v>
      </c>
      <c r="D83">
        <v>0.185277</v>
      </c>
      <c r="E83">
        <f t="shared" si="6"/>
        <v>-0.73217848997982637</v>
      </c>
      <c r="F83">
        <f t="shared" si="7"/>
        <v>-0.83403506720829146</v>
      </c>
      <c r="G83">
        <v>-1.4791105294648372</v>
      </c>
      <c r="H83">
        <f t="shared" si="8"/>
        <v>-1.231975075880329</v>
      </c>
      <c r="I83">
        <f t="shared" si="9"/>
        <v>0.15188731930165067</v>
      </c>
      <c r="J83">
        <f t="shared" si="10"/>
        <v>0.28571428571428575</v>
      </c>
    </row>
    <row r="84" spans="1:10" x14ac:dyDescent="0.3">
      <c r="A84">
        <v>16777216</v>
      </c>
      <c r="B84">
        <v>16</v>
      </c>
      <c r="C84">
        <v>0.13195399999999999</v>
      </c>
      <c r="D84">
        <v>0.73451999999999995</v>
      </c>
      <c r="E84">
        <f t="shared" si="6"/>
        <v>-0.13399637445318777</v>
      </c>
      <c r="F84">
        <f t="shared" si="7"/>
        <v>-0.38249007371232047</v>
      </c>
      <c r="G84">
        <v>-0.87957744021772999</v>
      </c>
      <c r="H84">
        <f t="shared" si="8"/>
        <v>-0.78043008238435796</v>
      </c>
      <c r="I84">
        <f t="shared" si="9"/>
        <v>0.15228847028300907</v>
      </c>
      <c r="J84">
        <f t="shared" si="10"/>
        <v>0.28571428571428581</v>
      </c>
    </row>
    <row r="85" spans="1:10" x14ac:dyDescent="0.3">
      <c r="A85">
        <v>16384</v>
      </c>
      <c r="B85">
        <v>64</v>
      </c>
      <c r="C85">
        <v>5.8E-4</v>
      </c>
      <c r="D85">
        <v>3.6900000000000002E-4</v>
      </c>
      <c r="E85">
        <f t="shared" si="6"/>
        <v>-3.4329736338409398</v>
      </c>
      <c r="F85">
        <f t="shared" si="7"/>
        <v>-2.7907300390241696</v>
      </c>
      <c r="G85">
        <v>-3.2365720064370627</v>
      </c>
      <c r="H85">
        <f t="shared" si="8"/>
        <v>-2.8876400520322258</v>
      </c>
      <c r="I85">
        <f t="shared" si="9"/>
        <v>0.61116965226554265</v>
      </c>
      <c r="J85">
        <f t="shared" si="10"/>
        <v>0.44444444444444464</v>
      </c>
    </row>
    <row r="86" spans="1:10" x14ac:dyDescent="0.3">
      <c r="A86">
        <v>65536</v>
      </c>
      <c r="B86">
        <v>64</v>
      </c>
      <c r="C86">
        <v>2.4780000000000002E-3</v>
      </c>
      <c r="D86">
        <v>1.4840000000000001E-3</v>
      </c>
      <c r="E86">
        <f t="shared" si="6"/>
        <v>-2.8285660990569919</v>
      </c>
      <c r="F86">
        <f t="shared" si="7"/>
        <v>-2.3391850455281977</v>
      </c>
      <c r="G86">
        <v>-2.6058986979599554</v>
      </c>
      <c r="H86">
        <f t="shared" si="8"/>
        <v>-2.436095058536254</v>
      </c>
      <c r="I86">
        <f t="shared" si="9"/>
        <v>0.62544169611307421</v>
      </c>
      <c r="J86">
        <f t="shared" si="10"/>
        <v>0.44444444444444442</v>
      </c>
    </row>
    <row r="87" spans="1:10" x14ac:dyDescent="0.3">
      <c r="A87">
        <v>262144</v>
      </c>
      <c r="B87">
        <v>64</v>
      </c>
      <c r="C87">
        <v>9.443E-3</v>
      </c>
      <c r="D87">
        <v>6.4599999999999996E-3</v>
      </c>
      <c r="E87">
        <f t="shared" si="6"/>
        <v>-2.1897674820049158</v>
      </c>
      <c r="F87">
        <f t="shared" si="7"/>
        <v>-1.8876400520322258</v>
      </c>
      <c r="G87">
        <v>-2.0248900103138388</v>
      </c>
      <c r="H87">
        <f t="shared" si="8"/>
        <v>-1.9845500650402821</v>
      </c>
      <c r="I87">
        <f t="shared" si="9"/>
        <v>0.59378733572281961</v>
      </c>
      <c r="J87">
        <f t="shared" si="10"/>
        <v>0.44444444444444448</v>
      </c>
    </row>
    <row r="88" spans="1:10" x14ac:dyDescent="0.3">
      <c r="A88">
        <v>1048576</v>
      </c>
      <c r="B88">
        <v>64</v>
      </c>
      <c r="C88">
        <v>3.3030999999999998E-2</v>
      </c>
      <c r="D88">
        <v>2.2897000000000001E-2</v>
      </c>
      <c r="E88">
        <f t="shared" si="6"/>
        <v>-1.6402214158607615</v>
      </c>
      <c r="F88">
        <f t="shared" si="7"/>
        <v>-1.436095058536254</v>
      </c>
      <c r="G88">
        <v>-1.4810782780219436</v>
      </c>
      <c r="H88">
        <f t="shared" si="8"/>
        <v>-1.5330050715443102</v>
      </c>
      <c r="I88">
        <f t="shared" si="9"/>
        <v>0.59059862680589326</v>
      </c>
      <c r="J88">
        <f t="shared" si="10"/>
        <v>0.44444444444444459</v>
      </c>
    </row>
    <row r="89" spans="1:10" x14ac:dyDescent="0.3">
      <c r="A89">
        <v>4194304</v>
      </c>
      <c r="B89">
        <v>64</v>
      </c>
      <c r="C89">
        <v>0.13181899999999999</v>
      </c>
      <c r="D89">
        <v>9.3742000000000006E-2</v>
      </c>
      <c r="E89">
        <f t="shared" si="6"/>
        <v>-1.0280657849773405</v>
      </c>
      <c r="F89">
        <f t="shared" si="7"/>
        <v>-0.98455006504028209</v>
      </c>
      <c r="G89">
        <v>-0.8800219873106937</v>
      </c>
      <c r="H89">
        <f t="shared" si="8"/>
        <v>-1.0814600780483383</v>
      </c>
      <c r="I89">
        <f t="shared" si="9"/>
        <v>0.58440510549252744</v>
      </c>
      <c r="J89">
        <f t="shared" si="10"/>
        <v>0.44444444444444459</v>
      </c>
    </row>
    <row r="90" spans="1:10" x14ac:dyDescent="0.3">
      <c r="A90">
        <v>16777216</v>
      </c>
      <c r="B90">
        <v>64</v>
      </c>
      <c r="C90">
        <v>0.52655700000000005</v>
      </c>
      <c r="D90">
        <v>0.36667699999999998</v>
      </c>
      <c r="E90">
        <f t="shared" si="6"/>
        <v>-0.43571633052576941</v>
      </c>
      <c r="F90">
        <f t="shared" si="7"/>
        <v>-0.53300507154431109</v>
      </c>
      <c r="G90">
        <v>-0.27855460938720772</v>
      </c>
      <c r="H90">
        <f t="shared" si="8"/>
        <v>-0.62991508455236733</v>
      </c>
      <c r="I90">
        <f t="shared" si="9"/>
        <v>0.58949502593945147</v>
      </c>
      <c r="J90">
        <f t="shared" si="10"/>
        <v>0.44444444444444453</v>
      </c>
    </row>
    <row r="91" spans="1:10" x14ac:dyDescent="0.3">
      <c r="A91">
        <v>65536</v>
      </c>
      <c r="B91">
        <v>256</v>
      </c>
      <c r="C91">
        <v>9.9439999999999997E-3</v>
      </c>
      <c r="D91">
        <v>1.389E-3</v>
      </c>
      <c r="E91">
        <f t="shared" si="6"/>
        <v>-2.8572977542623845</v>
      </c>
      <c r="F91">
        <f t="shared" si="7"/>
        <v>-2.4897000433601884</v>
      </c>
      <c r="G91">
        <v>-2.0024388843664118</v>
      </c>
      <c r="H91">
        <f t="shared" si="8"/>
        <v>-2.2855800607042633</v>
      </c>
      <c r="I91">
        <f t="shared" si="9"/>
        <v>0.87743757169328518</v>
      </c>
      <c r="J91">
        <f t="shared" si="10"/>
        <v>0.61538461538461564</v>
      </c>
    </row>
    <row r="92" spans="1:10" x14ac:dyDescent="0.3">
      <c r="A92">
        <v>262144</v>
      </c>
      <c r="B92">
        <v>256</v>
      </c>
      <c r="C92">
        <v>3.4377999999999999E-2</v>
      </c>
      <c r="D92">
        <v>4.5519999999999996E-3</v>
      </c>
      <c r="E92">
        <f t="shared" si="6"/>
        <v>-2.3417977466129853</v>
      </c>
      <c r="F92">
        <f t="shared" si="7"/>
        <v>-2.0381550498642165</v>
      </c>
      <c r="G92">
        <v>-1.4637193927516179</v>
      </c>
      <c r="H92">
        <f t="shared" si="8"/>
        <v>-1.8340350672082915</v>
      </c>
      <c r="I92">
        <f t="shared" si="9"/>
        <v>0.88307218083740047</v>
      </c>
      <c r="J92">
        <f t="shared" si="10"/>
        <v>0.61538461538461542</v>
      </c>
    </row>
    <row r="93" spans="1:10" x14ac:dyDescent="0.3">
      <c r="A93">
        <v>1048576</v>
      </c>
      <c r="B93">
        <v>256</v>
      </c>
      <c r="C93">
        <v>0.13211600000000001</v>
      </c>
      <c r="D93">
        <v>1.7097000000000001E-2</v>
      </c>
      <c r="E93">
        <f t="shared" si="6"/>
        <v>-1.767080088306507</v>
      </c>
      <c r="F93">
        <f t="shared" si="7"/>
        <v>-1.5866100563682446</v>
      </c>
      <c r="G93">
        <v>-0.87904458366534266</v>
      </c>
      <c r="H93">
        <f t="shared" si="8"/>
        <v>-1.3824900737123196</v>
      </c>
      <c r="I93">
        <f t="shared" si="9"/>
        <v>0.88541883079892503</v>
      </c>
      <c r="J93">
        <f t="shared" si="10"/>
        <v>0.61538461538461553</v>
      </c>
    </row>
    <row r="94" spans="1:10" x14ac:dyDescent="0.3">
      <c r="A94">
        <v>4194304</v>
      </c>
      <c r="B94">
        <v>256</v>
      </c>
      <c r="C94">
        <v>0.53128799999999998</v>
      </c>
      <c r="D94">
        <v>7.0126999999999995E-2</v>
      </c>
      <c r="E94">
        <f t="shared" si="6"/>
        <v>-1.1541147396170264</v>
      </c>
      <c r="F94">
        <f t="shared" si="7"/>
        <v>-1.1350650628722727</v>
      </c>
      <c r="G94">
        <v>-0.27466999322378033</v>
      </c>
      <c r="H94">
        <f t="shared" si="8"/>
        <v>-0.9309450802163477</v>
      </c>
      <c r="I94">
        <f t="shared" si="9"/>
        <v>0.88339665621908325</v>
      </c>
      <c r="J94">
        <f t="shared" si="10"/>
        <v>0.61538461538461553</v>
      </c>
    </row>
    <row r="95" spans="1:10" x14ac:dyDescent="0.3">
      <c r="A95">
        <v>16777216</v>
      </c>
      <c r="B95">
        <v>256</v>
      </c>
      <c r="C95">
        <v>2.1346289999999999</v>
      </c>
      <c r="D95">
        <v>0.27477200000000002</v>
      </c>
      <c r="E95">
        <f t="shared" si="6"/>
        <v>-0.56102752512432474</v>
      </c>
      <c r="F95">
        <f t="shared" si="7"/>
        <v>-0.68352006937630172</v>
      </c>
      <c r="G95">
        <v>0.32932240523755718</v>
      </c>
      <c r="H95">
        <f t="shared" si="8"/>
        <v>-0.47940008672037671</v>
      </c>
      <c r="I95">
        <f t="shared" si="9"/>
        <v>0.88595837720661685</v>
      </c>
      <c r="J95">
        <f t="shared" si="10"/>
        <v>0.61538461538461542</v>
      </c>
    </row>
    <row r="101" spans="9:9" x14ac:dyDescent="0.3">
      <c r="I101" s="14"/>
    </row>
  </sheetData>
  <autoFilter ref="A25:L42" xr:uid="{971345A4-1235-4D7D-B3CD-D704CFABE0BB}">
    <sortState xmlns:xlrd2="http://schemas.microsoft.com/office/spreadsheetml/2017/richdata2" ref="A26:L42">
      <sortCondition ref="D25:D42"/>
    </sortState>
  </autoFilter>
  <sortState xmlns:xlrd2="http://schemas.microsoft.com/office/spreadsheetml/2017/richdata2" ref="A2:L18">
    <sortCondition ref="A2:A18"/>
    <sortCondition ref="D2:D18"/>
  </sortState>
  <mergeCells count="2">
    <mergeCell ref="A21:T21"/>
    <mergeCell ref="A56:T56"/>
  </mergeCells>
  <pageMargins left="0.7" right="0.7" top="0.75" bottom="0.75" header="0.3" footer="0.3"/>
  <pageSetup paperSize="0" orientation="portrait" horizontalDpi="0" verticalDpi="0" copie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AC215F-5350-47E8-9C2D-D01258449846}">
  <dimension ref="A1:Q49"/>
  <sheetViews>
    <sheetView workbookViewId="0">
      <selection activeCell="C18" sqref="C18"/>
    </sheetView>
  </sheetViews>
  <sheetFormatPr defaultRowHeight="14.4" x14ac:dyDescent="0.3"/>
  <sheetData>
    <row r="1" spans="1:17" x14ac:dyDescent="0.3">
      <c r="A1" s="20" t="s">
        <v>17</v>
      </c>
      <c r="B1" s="20"/>
      <c r="C1" s="20"/>
      <c r="D1" s="20"/>
      <c r="E1" s="20" t="s">
        <v>16</v>
      </c>
      <c r="F1" s="20"/>
      <c r="G1" s="20"/>
      <c r="H1" s="20"/>
      <c r="I1" s="20"/>
      <c r="J1" s="20"/>
      <c r="K1" s="20"/>
      <c r="L1" s="20"/>
      <c r="M1" s="20" t="s">
        <v>15</v>
      </c>
      <c r="N1" s="20"/>
      <c r="O1" s="20"/>
      <c r="P1" s="20"/>
      <c r="Q1" s="20"/>
    </row>
    <row r="2" spans="1:17" x14ac:dyDescent="0.3">
      <c r="A2" t="s">
        <v>0</v>
      </c>
      <c r="B2" t="s">
        <v>1</v>
      </c>
      <c r="C2" t="s">
        <v>2</v>
      </c>
      <c r="D2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2" t="s">
        <v>10</v>
      </c>
      <c r="L2" s="2" t="s">
        <v>11</v>
      </c>
      <c r="M2" s="4" t="s">
        <v>4</v>
      </c>
      <c r="N2" s="4" t="s">
        <v>5</v>
      </c>
      <c r="O2" s="4" t="s">
        <v>6</v>
      </c>
      <c r="P2" s="4" t="s">
        <v>7</v>
      </c>
      <c r="Q2" s="4" t="s">
        <v>9</v>
      </c>
    </row>
    <row r="3" spans="1:17" x14ac:dyDescent="0.3">
      <c r="A3">
        <v>16384</v>
      </c>
      <c r="B3">
        <v>4</v>
      </c>
      <c r="C3">
        <v>1</v>
      </c>
      <c r="D3">
        <v>16</v>
      </c>
      <c r="E3">
        <v>1.3355999999999999</v>
      </c>
      <c r="F3">
        <v>1.075E-3</v>
      </c>
      <c r="G3">
        <v>2.1000000000000001E-4</v>
      </c>
      <c r="H3">
        <v>7.8399999999999997E-4</v>
      </c>
      <c r="I3">
        <v>0</v>
      </c>
      <c r="J3">
        <v>1.6899999999999999E-4</v>
      </c>
      <c r="K3">
        <f t="shared" ref="K3:K19" si="0">ROUND(G3/F3,2)</f>
        <v>0.2</v>
      </c>
      <c r="L3">
        <f t="shared" ref="L3:L19" si="1">ROUND(H3/F3,2)</f>
        <v>0.73</v>
      </c>
      <c r="M3" s="5">
        <f>ROUND(E$4/E3,2)</f>
        <v>0.98</v>
      </c>
      <c r="N3" s="6">
        <f>ROUND(F$4/F3,2)</f>
        <v>0.96</v>
      </c>
      <c r="O3" s="6">
        <f>ROUND(G$4/G3,2)</f>
        <v>2.76</v>
      </c>
      <c r="P3" s="6">
        <f>ROUND(H$4/H3,2)</f>
        <v>0.47</v>
      </c>
      <c r="Q3" s="7">
        <f>ROUND(J$4/J3,2)</f>
        <v>3.18</v>
      </c>
    </row>
    <row r="4" spans="1:17" x14ac:dyDescent="0.3">
      <c r="A4">
        <v>16384</v>
      </c>
      <c r="B4">
        <v>4</v>
      </c>
      <c r="C4">
        <v>0</v>
      </c>
      <c r="D4">
        <v>64</v>
      </c>
      <c r="E4">
        <v>1.30698</v>
      </c>
      <c r="F4">
        <v>1.036E-3</v>
      </c>
      <c r="G4">
        <v>5.8E-4</v>
      </c>
      <c r="H4">
        <v>3.6900000000000002E-4</v>
      </c>
      <c r="I4">
        <v>0</v>
      </c>
      <c r="J4">
        <v>5.3799999999999996E-4</v>
      </c>
      <c r="K4">
        <f t="shared" si="0"/>
        <v>0.56000000000000005</v>
      </c>
      <c r="L4">
        <f t="shared" si="1"/>
        <v>0.36</v>
      </c>
      <c r="M4" s="8"/>
      <c r="N4" s="9"/>
      <c r="O4" s="9"/>
      <c r="P4" s="9"/>
      <c r="Q4" s="10"/>
    </row>
    <row r="5" spans="1:17" x14ac:dyDescent="0.3">
      <c r="A5">
        <v>65536</v>
      </c>
      <c r="B5">
        <v>5</v>
      </c>
      <c r="C5">
        <v>1</v>
      </c>
      <c r="D5">
        <v>16</v>
      </c>
      <c r="E5">
        <v>4.2771400000000002</v>
      </c>
      <c r="F5">
        <v>3.7490000000000002E-3</v>
      </c>
      <c r="G5">
        <v>6.6799999999999997E-4</v>
      </c>
      <c r="H5">
        <v>2.9459999999999998E-3</v>
      </c>
      <c r="I5">
        <v>0</v>
      </c>
      <c r="J5">
        <v>6.0999999999999997E-4</v>
      </c>
      <c r="K5">
        <f t="shared" si="0"/>
        <v>0.18</v>
      </c>
      <c r="L5">
        <f t="shared" si="1"/>
        <v>0.79</v>
      </c>
      <c r="M5" s="5">
        <f>ROUND(E$6/E5,2)</f>
        <v>1.0900000000000001</v>
      </c>
      <c r="N5" s="6">
        <f>ROUND(F$6/F5,2)</f>
        <v>1.1000000000000001</v>
      </c>
      <c r="O5" s="6">
        <f>ROUND(G$6/G5,2)</f>
        <v>3.71</v>
      </c>
      <c r="P5" s="6">
        <f>ROUND(H$6/H5,2)</f>
        <v>0.5</v>
      </c>
      <c r="Q5" s="7">
        <f>ROUND(J$6/J5,2)</f>
        <v>3.94</v>
      </c>
    </row>
    <row r="6" spans="1:17" x14ac:dyDescent="0.3">
      <c r="A6">
        <v>65536</v>
      </c>
      <c r="B6">
        <v>5</v>
      </c>
      <c r="C6">
        <v>0</v>
      </c>
      <c r="D6">
        <v>64</v>
      </c>
      <c r="E6">
        <v>4.6695000000000002</v>
      </c>
      <c r="F6">
        <v>4.117E-3</v>
      </c>
      <c r="G6">
        <v>2.4780000000000002E-3</v>
      </c>
      <c r="H6">
        <v>1.4840000000000001E-3</v>
      </c>
      <c r="I6">
        <v>0</v>
      </c>
      <c r="J6">
        <v>2.4009999999999999E-3</v>
      </c>
      <c r="K6">
        <f t="shared" si="0"/>
        <v>0.6</v>
      </c>
      <c r="L6">
        <f t="shared" si="1"/>
        <v>0.36</v>
      </c>
      <c r="M6" s="11"/>
      <c r="N6" s="12"/>
      <c r="O6" s="12"/>
      <c r="P6" s="12"/>
      <c r="Q6" s="13"/>
    </row>
    <row r="7" spans="1:17" x14ac:dyDescent="0.3">
      <c r="A7">
        <v>65536</v>
      </c>
      <c r="B7">
        <v>5</v>
      </c>
      <c r="C7">
        <v>-1</v>
      </c>
      <c r="D7">
        <v>256</v>
      </c>
      <c r="E7">
        <v>12.227119999999999</v>
      </c>
      <c r="F7">
        <v>1.1505E-2</v>
      </c>
      <c r="G7">
        <v>9.9439999999999997E-3</v>
      </c>
      <c r="H7">
        <v>1.389E-3</v>
      </c>
      <c r="I7">
        <v>0</v>
      </c>
      <c r="J7">
        <v>9.8670000000000008E-3</v>
      </c>
      <c r="K7">
        <f t="shared" si="0"/>
        <v>0.86</v>
      </c>
      <c r="L7">
        <f t="shared" si="1"/>
        <v>0.12</v>
      </c>
      <c r="M7" s="8">
        <f>ROUND(E$6/E7,2)</f>
        <v>0.38</v>
      </c>
      <c r="N7" s="9">
        <f>ROUND(F$6/F7,2)</f>
        <v>0.36</v>
      </c>
      <c r="O7" s="9">
        <f>ROUND(G$6/G7,2)</f>
        <v>0.25</v>
      </c>
      <c r="P7" s="9">
        <f>ROUND(H$6/H7,2)</f>
        <v>1.07</v>
      </c>
      <c r="Q7" s="10">
        <f>ROUND(J$6/J7,2)</f>
        <v>0.24</v>
      </c>
    </row>
    <row r="8" spans="1:17" x14ac:dyDescent="0.3">
      <c r="A8">
        <v>262144</v>
      </c>
      <c r="B8">
        <v>6</v>
      </c>
      <c r="C8">
        <v>1</v>
      </c>
      <c r="D8">
        <v>16</v>
      </c>
      <c r="E8">
        <v>14.894819999999999</v>
      </c>
      <c r="F8">
        <v>1.3905000000000001E-2</v>
      </c>
      <c r="G8">
        <v>2.2100000000000002E-3</v>
      </c>
      <c r="H8">
        <v>1.1535999999999999E-2</v>
      </c>
      <c r="I8">
        <v>0</v>
      </c>
      <c r="J8">
        <v>2.1359999999999999E-3</v>
      </c>
      <c r="K8">
        <f t="shared" si="0"/>
        <v>0.16</v>
      </c>
      <c r="L8">
        <f t="shared" si="1"/>
        <v>0.83</v>
      </c>
      <c r="M8" s="5">
        <f>ROUND(E$9/E8,2)</f>
        <v>1.1499999999999999</v>
      </c>
      <c r="N8" s="6">
        <f>ROUND(F$9/F8,2)</f>
        <v>1.1599999999999999</v>
      </c>
      <c r="O8" s="6">
        <f>ROUND(G$9/G8,2)</f>
        <v>4.2699999999999996</v>
      </c>
      <c r="P8" s="6">
        <f>ROUND(H$9/H8,2)</f>
        <v>0.56000000000000005</v>
      </c>
      <c r="Q8" s="7">
        <f>ROUND(J$9/J8,2)</f>
        <v>4.38</v>
      </c>
    </row>
    <row r="9" spans="1:17" x14ac:dyDescent="0.3">
      <c r="A9">
        <v>262144</v>
      </c>
      <c r="B9">
        <v>6</v>
      </c>
      <c r="C9">
        <v>0</v>
      </c>
      <c r="D9">
        <v>64</v>
      </c>
      <c r="E9">
        <v>17.070920000000001</v>
      </c>
      <c r="F9">
        <v>1.6060999999999999E-2</v>
      </c>
      <c r="G9">
        <v>9.443E-3</v>
      </c>
      <c r="H9">
        <v>6.4599999999999996E-3</v>
      </c>
      <c r="I9">
        <v>0</v>
      </c>
      <c r="J9">
        <v>9.3640000000000008E-3</v>
      </c>
      <c r="K9">
        <f t="shared" si="0"/>
        <v>0.59</v>
      </c>
      <c r="L9">
        <f t="shared" si="1"/>
        <v>0.4</v>
      </c>
      <c r="M9" s="11"/>
      <c r="N9" s="12"/>
      <c r="O9" s="12"/>
      <c r="P9" s="12"/>
      <c r="Q9" s="13"/>
    </row>
    <row r="10" spans="1:17" x14ac:dyDescent="0.3">
      <c r="A10">
        <v>262144</v>
      </c>
      <c r="B10">
        <v>6</v>
      </c>
      <c r="C10">
        <v>-1</v>
      </c>
      <c r="D10">
        <v>256</v>
      </c>
      <c r="E10">
        <v>40.15598</v>
      </c>
      <c r="F10">
        <v>3.9104E-2</v>
      </c>
      <c r="G10">
        <v>3.4377999999999999E-2</v>
      </c>
      <c r="H10">
        <v>4.5519999999999996E-3</v>
      </c>
      <c r="I10">
        <v>0</v>
      </c>
      <c r="J10">
        <v>3.4289E-2</v>
      </c>
      <c r="K10">
        <f t="shared" si="0"/>
        <v>0.88</v>
      </c>
      <c r="L10">
        <f t="shared" si="1"/>
        <v>0.12</v>
      </c>
      <c r="M10" s="8">
        <f>ROUND(E$9/E10,2)</f>
        <v>0.43</v>
      </c>
      <c r="N10" s="9">
        <f>ROUND(F$9/F10,2)</f>
        <v>0.41</v>
      </c>
      <c r="O10" s="9">
        <f>ROUND(G$9/G10,2)</f>
        <v>0.27</v>
      </c>
      <c r="P10" s="9">
        <f>ROUND(H$9/H10,2)</f>
        <v>1.42</v>
      </c>
      <c r="Q10" s="10">
        <f>ROUND(J$9/J10,2)</f>
        <v>0.27</v>
      </c>
    </row>
    <row r="11" spans="1:17" x14ac:dyDescent="0.3">
      <c r="A11">
        <v>1048576</v>
      </c>
      <c r="B11">
        <v>7</v>
      </c>
      <c r="C11">
        <v>1</v>
      </c>
      <c r="D11">
        <v>16</v>
      </c>
      <c r="E11">
        <v>58.040900000000001</v>
      </c>
      <c r="F11">
        <v>5.5515000000000002E-2</v>
      </c>
      <c r="G11">
        <v>8.548E-3</v>
      </c>
      <c r="H11">
        <v>4.6800000000000001E-2</v>
      </c>
      <c r="I11">
        <v>0</v>
      </c>
      <c r="J11">
        <v>8.4729999999999996E-3</v>
      </c>
      <c r="K11">
        <f t="shared" si="0"/>
        <v>0.15</v>
      </c>
      <c r="L11">
        <f t="shared" si="1"/>
        <v>0.84</v>
      </c>
      <c r="M11" s="5">
        <f>ROUND(E$12/E11,2)</f>
        <v>1.01</v>
      </c>
      <c r="N11" s="6">
        <f>ROUND(F$12/F11,2)</f>
        <v>1.01</v>
      </c>
      <c r="O11" s="6">
        <f>ROUND(G$12/G11,2)</f>
        <v>3.86</v>
      </c>
      <c r="P11" s="6">
        <f>ROUND(H$12/H11,2)</f>
        <v>0.49</v>
      </c>
      <c r="Q11" s="7">
        <f>ROUND(J$12/J11,2)</f>
        <v>3.89</v>
      </c>
    </row>
    <row r="12" spans="1:17" x14ac:dyDescent="0.3">
      <c r="A12">
        <v>1048576</v>
      </c>
      <c r="B12">
        <v>7</v>
      </c>
      <c r="C12">
        <v>0</v>
      </c>
      <c r="D12">
        <v>64</v>
      </c>
      <c r="E12">
        <v>58.644979999999997</v>
      </c>
      <c r="F12">
        <v>5.6090000000000001E-2</v>
      </c>
      <c r="G12">
        <v>3.3030999999999998E-2</v>
      </c>
      <c r="H12">
        <v>2.2897000000000001E-2</v>
      </c>
      <c r="I12">
        <v>0</v>
      </c>
      <c r="J12">
        <v>3.2953000000000003E-2</v>
      </c>
      <c r="K12">
        <f t="shared" si="0"/>
        <v>0.59</v>
      </c>
      <c r="L12">
        <f t="shared" si="1"/>
        <v>0.41</v>
      </c>
      <c r="M12" s="11"/>
      <c r="N12" s="12"/>
      <c r="O12" s="12"/>
      <c r="P12" s="12"/>
      <c r="Q12" s="13"/>
    </row>
    <row r="13" spans="1:17" x14ac:dyDescent="0.3">
      <c r="A13">
        <v>1048576</v>
      </c>
      <c r="B13">
        <v>7</v>
      </c>
      <c r="C13">
        <v>-1</v>
      </c>
      <c r="D13">
        <v>256</v>
      </c>
      <c r="E13">
        <v>151.94820000000001</v>
      </c>
      <c r="F13">
        <v>0.14938199999999999</v>
      </c>
      <c r="G13">
        <v>0.13211600000000001</v>
      </c>
      <c r="H13">
        <v>1.7097000000000001E-2</v>
      </c>
      <c r="I13">
        <v>0</v>
      </c>
      <c r="J13">
        <v>0.132026</v>
      </c>
      <c r="K13">
        <f t="shared" si="0"/>
        <v>0.88</v>
      </c>
      <c r="L13">
        <f t="shared" si="1"/>
        <v>0.11</v>
      </c>
      <c r="M13" s="8">
        <f>ROUND(E$12/E13,2)</f>
        <v>0.39</v>
      </c>
      <c r="N13" s="9">
        <f>ROUND(F$12/F13,2)</f>
        <v>0.38</v>
      </c>
      <c r="O13" s="9">
        <f>ROUND(G$12/G13,2)</f>
        <v>0.25</v>
      </c>
      <c r="P13" s="9">
        <f>ROUND(H$12/H13,2)</f>
        <v>1.34</v>
      </c>
      <c r="Q13" s="10">
        <f>ROUND(J$12/J13,2)</f>
        <v>0.25</v>
      </c>
    </row>
    <row r="14" spans="1:17" x14ac:dyDescent="0.3">
      <c r="A14">
        <v>4194304</v>
      </c>
      <c r="B14">
        <v>8</v>
      </c>
      <c r="C14">
        <v>1</v>
      </c>
      <c r="D14">
        <v>16</v>
      </c>
      <c r="E14">
        <v>227.68804</v>
      </c>
      <c r="F14">
        <v>0.21864800000000001</v>
      </c>
      <c r="G14">
        <v>3.3181000000000002E-2</v>
      </c>
      <c r="H14">
        <v>0.185277</v>
      </c>
      <c r="I14">
        <v>0</v>
      </c>
      <c r="J14">
        <v>3.3106999999999998E-2</v>
      </c>
      <c r="K14">
        <f t="shared" si="0"/>
        <v>0.15</v>
      </c>
      <c r="L14">
        <f t="shared" si="1"/>
        <v>0.85</v>
      </c>
      <c r="M14" s="5">
        <f>ROUND(E$15/E14,2)</f>
        <v>1.03</v>
      </c>
      <c r="N14" s="6">
        <f>ROUND(F$15/F14,2)</f>
        <v>1.03</v>
      </c>
      <c r="O14" s="6">
        <f>ROUND(G$15/G14,2)</f>
        <v>3.97</v>
      </c>
      <c r="P14" s="6">
        <f>ROUND(H$15/H14,2)</f>
        <v>0.51</v>
      </c>
      <c r="Q14" s="7">
        <f>ROUND(J$15/J14,2)</f>
        <v>3.98</v>
      </c>
    </row>
    <row r="15" spans="1:17" x14ac:dyDescent="0.3">
      <c r="A15">
        <v>4194304</v>
      </c>
      <c r="B15">
        <v>8</v>
      </c>
      <c r="C15">
        <v>0</v>
      </c>
      <c r="D15">
        <v>64</v>
      </c>
      <c r="E15">
        <v>234.68845999999999</v>
      </c>
      <c r="F15">
        <v>0.225745</v>
      </c>
      <c r="G15">
        <v>0.13181899999999999</v>
      </c>
      <c r="H15">
        <v>9.3742000000000006E-2</v>
      </c>
      <c r="I15">
        <v>0</v>
      </c>
      <c r="J15">
        <v>0.13173299999999999</v>
      </c>
      <c r="K15">
        <f t="shared" si="0"/>
        <v>0.57999999999999996</v>
      </c>
      <c r="L15">
        <f t="shared" si="1"/>
        <v>0.42</v>
      </c>
      <c r="M15" s="11"/>
      <c r="N15" s="12"/>
      <c r="O15" s="12"/>
      <c r="P15" s="12"/>
      <c r="Q15" s="13"/>
    </row>
    <row r="16" spans="1:17" x14ac:dyDescent="0.3">
      <c r="A16">
        <v>4194304</v>
      </c>
      <c r="B16">
        <v>8</v>
      </c>
      <c r="C16">
        <v>-1</v>
      </c>
      <c r="D16">
        <v>256</v>
      </c>
      <c r="E16">
        <v>610.77485999999999</v>
      </c>
      <c r="F16">
        <v>0.60160499999999995</v>
      </c>
      <c r="G16">
        <v>0.53128799999999998</v>
      </c>
      <c r="H16">
        <v>7.0126999999999995E-2</v>
      </c>
      <c r="I16">
        <v>0</v>
      </c>
      <c r="J16">
        <v>0.53119499999999997</v>
      </c>
      <c r="K16">
        <f t="shared" si="0"/>
        <v>0.88</v>
      </c>
      <c r="L16">
        <f t="shared" si="1"/>
        <v>0.12</v>
      </c>
      <c r="M16" s="8">
        <f>ROUND(E$15/E16,2)</f>
        <v>0.38</v>
      </c>
      <c r="N16" s="9">
        <f>ROUND(F$15/F16,2)</f>
        <v>0.38</v>
      </c>
      <c r="O16" s="9">
        <f>ROUND(G$15/G16,2)</f>
        <v>0.25</v>
      </c>
      <c r="P16" s="9">
        <f>ROUND(H$15/H16,2)</f>
        <v>1.34</v>
      </c>
      <c r="Q16" s="10">
        <f>ROUND(J$15/J16,2)</f>
        <v>0.25</v>
      </c>
    </row>
    <row r="17" spans="1:17" x14ac:dyDescent="0.3">
      <c r="A17">
        <v>16777216</v>
      </c>
      <c r="B17">
        <v>9</v>
      </c>
      <c r="C17">
        <v>1</v>
      </c>
      <c r="D17">
        <v>16</v>
      </c>
      <c r="E17">
        <v>900.38696000000004</v>
      </c>
      <c r="F17">
        <v>0.86667799999999995</v>
      </c>
      <c r="G17">
        <v>0.13195399999999999</v>
      </c>
      <c r="H17">
        <v>0.73451999999999995</v>
      </c>
      <c r="I17">
        <v>0</v>
      </c>
      <c r="J17">
        <v>0.13187099999999999</v>
      </c>
      <c r="K17">
        <f t="shared" si="0"/>
        <v>0.15</v>
      </c>
      <c r="L17">
        <f t="shared" si="1"/>
        <v>0.85</v>
      </c>
      <c r="M17" s="5">
        <f>ROUND(E$18/E17,2)</f>
        <v>1.03</v>
      </c>
      <c r="N17" s="6">
        <f>ROUND(F$18/F17,2)</f>
        <v>1.03</v>
      </c>
      <c r="O17" s="6">
        <f>ROUND(G$18/G17,2)</f>
        <v>3.99</v>
      </c>
      <c r="P17" s="6">
        <f>ROUND(H$18/H17,2)</f>
        <v>0.5</v>
      </c>
      <c r="Q17" s="7">
        <f>ROUND(J$18/J17,2)</f>
        <v>3.99</v>
      </c>
    </row>
    <row r="18" spans="1:17" x14ac:dyDescent="0.3">
      <c r="A18">
        <v>16777216</v>
      </c>
      <c r="B18">
        <v>9</v>
      </c>
      <c r="C18">
        <v>0</v>
      </c>
      <c r="D18">
        <v>64</v>
      </c>
      <c r="E18">
        <v>927.75198</v>
      </c>
      <c r="F18">
        <v>0.89343600000000001</v>
      </c>
      <c r="G18">
        <v>0.52655700000000005</v>
      </c>
      <c r="H18">
        <v>0.36667699999999998</v>
      </c>
      <c r="I18">
        <v>0</v>
      </c>
      <c r="J18">
        <v>0.52646400000000004</v>
      </c>
      <c r="K18">
        <f t="shared" si="0"/>
        <v>0.59</v>
      </c>
      <c r="L18">
        <f t="shared" si="1"/>
        <v>0.41</v>
      </c>
      <c r="M18" s="11"/>
      <c r="N18" s="12"/>
      <c r="O18" s="12"/>
      <c r="P18" s="12"/>
      <c r="Q18" s="13"/>
    </row>
    <row r="19" spans="1:17" x14ac:dyDescent="0.3">
      <c r="A19">
        <v>16777216</v>
      </c>
      <c r="B19">
        <v>9</v>
      </c>
      <c r="C19">
        <v>-1</v>
      </c>
      <c r="D19">
        <v>256</v>
      </c>
      <c r="E19">
        <v>2444.6527000000001</v>
      </c>
      <c r="F19">
        <v>2.4096069999999998</v>
      </c>
      <c r="G19">
        <v>2.1346289999999999</v>
      </c>
      <c r="H19">
        <v>0.27477200000000002</v>
      </c>
      <c r="I19">
        <v>0</v>
      </c>
      <c r="J19">
        <v>2.1345339999999999</v>
      </c>
      <c r="K19">
        <f t="shared" si="0"/>
        <v>0.89</v>
      </c>
      <c r="L19">
        <f t="shared" si="1"/>
        <v>0.11</v>
      </c>
      <c r="M19" s="8">
        <f>ROUND(E$18/E19,2)</f>
        <v>0.38</v>
      </c>
      <c r="N19" s="9">
        <f>ROUND(F$18/F19,2)</f>
        <v>0.37</v>
      </c>
      <c r="O19" s="9">
        <f>ROUND(G$18/G19,2)</f>
        <v>0.25</v>
      </c>
      <c r="P19" s="9">
        <f>ROUND(H$18/H19,2)</f>
        <v>1.33</v>
      </c>
      <c r="Q19" s="10">
        <f>ROUND(J$18/J19,2)</f>
        <v>0.25</v>
      </c>
    </row>
    <row r="25" spans="1:17" x14ac:dyDescent="0.3">
      <c r="H25" s="14"/>
    </row>
    <row r="49" spans="14:14" x14ac:dyDescent="0.3">
      <c r="N49" s="14"/>
    </row>
  </sheetData>
  <autoFilter ref="A2:Q19" xr:uid="{D9AC215F-5350-47E8-9C2D-D01258449846}"/>
  <mergeCells count="3">
    <mergeCell ref="M1:Q1"/>
    <mergeCell ref="E1:L1"/>
    <mergeCell ref="A1:D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03E2A2-374F-4000-A39B-A25BFBD5D4D9}">
  <dimension ref="A1:V99"/>
  <sheetViews>
    <sheetView workbookViewId="0">
      <selection activeCell="O95" sqref="O95"/>
    </sheetView>
  </sheetViews>
  <sheetFormatPr defaultRowHeight="14.4" x14ac:dyDescent="0.3"/>
  <cols>
    <col min="9" max="11" width="12" bestFit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2" t="s">
        <v>11</v>
      </c>
      <c r="M1" s="1" t="s">
        <v>12</v>
      </c>
      <c r="N1" s="1" t="s">
        <v>13</v>
      </c>
    </row>
    <row r="2" spans="1:14" x14ac:dyDescent="0.3">
      <c r="A2">
        <v>16384</v>
      </c>
      <c r="B2">
        <v>4</v>
      </c>
      <c r="C2">
        <v>1</v>
      </c>
      <c r="D2">
        <v>16</v>
      </c>
      <c r="E2">
        <v>1.3194999999999999</v>
      </c>
      <c r="F2">
        <v>1.253E-3</v>
      </c>
      <c r="G2">
        <v>3.8000000000000002E-4</v>
      </c>
      <c r="H2">
        <v>7.8899999999999999E-4</v>
      </c>
      <c r="I2">
        <v>1.64E-4</v>
      </c>
      <c r="J2">
        <v>1.74E-4</v>
      </c>
      <c r="K2">
        <f t="shared" ref="K2:K18" si="0">ROUND(G2/F2,2)</f>
        <v>0.3</v>
      </c>
      <c r="L2">
        <f t="shared" ref="L2:L18" si="1">ROUND(H2/F2,2)</f>
        <v>0.63</v>
      </c>
      <c r="M2">
        <f t="shared" ref="M2:M18" si="2">ROUND(I2/G2,2)</f>
        <v>0.43</v>
      </c>
      <c r="N2">
        <f t="shared" ref="N2:N18" si="3">ROUND(J2/G2,2)</f>
        <v>0.46</v>
      </c>
    </row>
    <row r="3" spans="1:14" x14ac:dyDescent="0.3">
      <c r="A3">
        <v>16384</v>
      </c>
      <c r="B3">
        <v>4</v>
      </c>
      <c r="C3">
        <v>0</v>
      </c>
      <c r="D3">
        <v>64</v>
      </c>
      <c r="E3">
        <v>1.3204800000000001</v>
      </c>
      <c r="F3">
        <v>1.6919999999999999E-3</v>
      </c>
      <c r="G3">
        <v>1.2390000000000001E-3</v>
      </c>
      <c r="H3">
        <v>3.6699999999999998E-4</v>
      </c>
      <c r="I3">
        <v>5.9400000000000002E-4</v>
      </c>
      <c r="J3">
        <v>6.0300000000000002E-4</v>
      </c>
      <c r="K3">
        <f t="shared" si="0"/>
        <v>0.73</v>
      </c>
      <c r="L3">
        <f t="shared" si="1"/>
        <v>0.22</v>
      </c>
      <c r="M3">
        <f t="shared" si="2"/>
        <v>0.48</v>
      </c>
      <c r="N3">
        <f t="shared" si="3"/>
        <v>0.49</v>
      </c>
    </row>
    <row r="4" spans="1:14" x14ac:dyDescent="0.3">
      <c r="A4">
        <v>65536</v>
      </c>
      <c r="B4">
        <v>5</v>
      </c>
      <c r="C4">
        <v>1</v>
      </c>
      <c r="D4">
        <v>16</v>
      </c>
      <c r="E4">
        <v>4.1846199999999998</v>
      </c>
      <c r="F4">
        <v>3.8779999999999999E-3</v>
      </c>
      <c r="G4">
        <v>7.7499999999999997E-4</v>
      </c>
      <c r="H4">
        <v>2.9559999999999999E-3</v>
      </c>
      <c r="I4">
        <v>1.35E-4</v>
      </c>
      <c r="J4">
        <v>5.6499999999999996E-4</v>
      </c>
      <c r="K4">
        <f t="shared" si="0"/>
        <v>0.2</v>
      </c>
      <c r="L4">
        <f t="shared" si="1"/>
        <v>0.76</v>
      </c>
      <c r="M4">
        <f t="shared" si="2"/>
        <v>0.17</v>
      </c>
      <c r="N4">
        <f t="shared" si="3"/>
        <v>0.73</v>
      </c>
    </row>
    <row r="5" spans="1:14" x14ac:dyDescent="0.3">
      <c r="A5">
        <v>65536</v>
      </c>
      <c r="B5">
        <v>5</v>
      </c>
      <c r="C5">
        <v>0</v>
      </c>
      <c r="D5">
        <v>64</v>
      </c>
      <c r="E5">
        <v>4.2229999999999999</v>
      </c>
      <c r="F5">
        <v>4.3969999999999999E-3</v>
      </c>
      <c r="G5">
        <v>2.7599999999999999E-3</v>
      </c>
      <c r="H5">
        <v>1.485E-3</v>
      </c>
      <c r="I5">
        <v>6.1399999999999996E-4</v>
      </c>
      <c r="J5">
        <v>2.0669999999999998E-3</v>
      </c>
      <c r="K5">
        <f t="shared" si="0"/>
        <v>0.63</v>
      </c>
      <c r="L5">
        <f t="shared" si="1"/>
        <v>0.34</v>
      </c>
      <c r="M5">
        <f t="shared" si="2"/>
        <v>0.22</v>
      </c>
      <c r="N5">
        <f t="shared" si="3"/>
        <v>0.75</v>
      </c>
    </row>
    <row r="6" spans="1:14" x14ac:dyDescent="0.3">
      <c r="A6">
        <v>65536</v>
      </c>
      <c r="B6">
        <v>5</v>
      </c>
      <c r="C6">
        <v>-1</v>
      </c>
      <c r="D6">
        <v>256</v>
      </c>
      <c r="E6">
        <v>10.736420000000001</v>
      </c>
      <c r="F6">
        <v>1.804E-2</v>
      </c>
      <c r="G6">
        <v>1.6393999999999999E-2</v>
      </c>
      <c r="H6">
        <v>1.446E-3</v>
      </c>
      <c r="I6">
        <v>7.8639999999999995E-3</v>
      </c>
      <c r="J6">
        <v>8.4279999999999997E-3</v>
      </c>
      <c r="K6">
        <f t="shared" si="0"/>
        <v>0.91</v>
      </c>
      <c r="L6">
        <f t="shared" si="1"/>
        <v>0.08</v>
      </c>
      <c r="M6">
        <f t="shared" si="2"/>
        <v>0.48</v>
      </c>
      <c r="N6">
        <f t="shared" si="3"/>
        <v>0.51</v>
      </c>
    </row>
    <row r="7" spans="1:14" x14ac:dyDescent="0.3">
      <c r="A7">
        <v>262144</v>
      </c>
      <c r="B7">
        <v>6</v>
      </c>
      <c r="C7">
        <v>1</v>
      </c>
      <c r="D7">
        <v>16</v>
      </c>
      <c r="E7">
        <v>14.459820000000001</v>
      </c>
      <c r="F7">
        <v>1.3878E-2</v>
      </c>
      <c r="G7">
        <v>2.1810000000000002E-3</v>
      </c>
      <c r="H7">
        <v>1.1542E-2</v>
      </c>
      <c r="I7">
        <v>1.34E-4</v>
      </c>
      <c r="J7">
        <v>1.9719999999999998E-3</v>
      </c>
      <c r="K7">
        <f t="shared" si="0"/>
        <v>0.16</v>
      </c>
      <c r="L7">
        <f t="shared" si="1"/>
        <v>0.83</v>
      </c>
      <c r="M7">
        <f t="shared" si="2"/>
        <v>0.06</v>
      </c>
      <c r="N7">
        <f t="shared" si="3"/>
        <v>0.9</v>
      </c>
    </row>
    <row r="8" spans="1:14" x14ac:dyDescent="0.3">
      <c r="A8">
        <v>262144</v>
      </c>
      <c r="B8">
        <v>6</v>
      </c>
      <c r="C8">
        <v>0</v>
      </c>
      <c r="D8">
        <v>64</v>
      </c>
      <c r="E8">
        <v>14.19186</v>
      </c>
      <c r="F8">
        <v>1.4047E-2</v>
      </c>
      <c r="G8">
        <v>8.0859999999999994E-3</v>
      </c>
      <c r="H8">
        <v>5.803E-3</v>
      </c>
      <c r="I8">
        <v>5.7899999999999998E-4</v>
      </c>
      <c r="J8">
        <v>7.4279999999999997E-3</v>
      </c>
      <c r="K8">
        <f t="shared" si="0"/>
        <v>0.57999999999999996</v>
      </c>
      <c r="L8">
        <f t="shared" si="1"/>
        <v>0.41</v>
      </c>
      <c r="M8">
        <f t="shared" si="2"/>
        <v>7.0000000000000007E-2</v>
      </c>
      <c r="N8">
        <f t="shared" si="3"/>
        <v>0.92</v>
      </c>
    </row>
    <row r="9" spans="1:14" x14ac:dyDescent="0.3">
      <c r="A9">
        <v>262144</v>
      </c>
      <c r="B9">
        <v>6</v>
      </c>
      <c r="C9">
        <v>-1</v>
      </c>
      <c r="D9">
        <v>256</v>
      </c>
      <c r="E9">
        <v>34.607520000000001</v>
      </c>
      <c r="F9">
        <v>4.1725999999999999E-2</v>
      </c>
      <c r="G9">
        <v>3.7053999999999997E-2</v>
      </c>
      <c r="H9">
        <v>4.5050000000000003E-3</v>
      </c>
      <c r="I9">
        <v>7.8849999999999996E-3</v>
      </c>
      <c r="J9">
        <v>2.9089E-2</v>
      </c>
      <c r="K9">
        <f t="shared" si="0"/>
        <v>0.89</v>
      </c>
      <c r="L9">
        <f t="shared" si="1"/>
        <v>0.11</v>
      </c>
      <c r="M9">
        <f t="shared" si="2"/>
        <v>0.21</v>
      </c>
      <c r="N9">
        <f t="shared" si="3"/>
        <v>0.79</v>
      </c>
    </row>
    <row r="10" spans="1:14" x14ac:dyDescent="0.3">
      <c r="A10">
        <v>1048576</v>
      </c>
      <c r="B10">
        <v>7</v>
      </c>
      <c r="C10">
        <v>1</v>
      </c>
      <c r="D10">
        <v>16</v>
      </c>
      <c r="E10">
        <v>57.936540000000001</v>
      </c>
      <c r="F10">
        <v>5.6763000000000001E-2</v>
      </c>
      <c r="G10">
        <v>8.4829999999999992E-3</v>
      </c>
      <c r="H10">
        <v>4.8113000000000003E-2</v>
      </c>
      <c r="I10">
        <v>5.7300000000000005E-4</v>
      </c>
      <c r="J10">
        <v>7.8279999999999999E-3</v>
      </c>
      <c r="K10">
        <f t="shared" si="0"/>
        <v>0.15</v>
      </c>
      <c r="L10">
        <f t="shared" si="1"/>
        <v>0.85</v>
      </c>
      <c r="M10">
        <f t="shared" si="2"/>
        <v>7.0000000000000007E-2</v>
      </c>
      <c r="N10">
        <f t="shared" si="3"/>
        <v>0.92</v>
      </c>
    </row>
    <row r="11" spans="1:14" x14ac:dyDescent="0.3">
      <c r="A11">
        <v>1048576</v>
      </c>
      <c r="B11">
        <v>7</v>
      </c>
      <c r="C11">
        <v>0</v>
      </c>
      <c r="D11">
        <v>64</v>
      </c>
      <c r="E11">
        <v>58.113140000000001</v>
      </c>
      <c r="F11">
        <v>6.1093000000000001E-2</v>
      </c>
      <c r="G11">
        <v>3.6419E-2</v>
      </c>
      <c r="H11">
        <v>2.4509E-2</v>
      </c>
      <c r="I11">
        <v>4.8129999999999996E-3</v>
      </c>
      <c r="J11">
        <v>3.1528E-2</v>
      </c>
      <c r="K11">
        <f t="shared" si="0"/>
        <v>0.6</v>
      </c>
      <c r="L11">
        <f t="shared" si="1"/>
        <v>0.4</v>
      </c>
      <c r="M11">
        <f t="shared" si="2"/>
        <v>0.13</v>
      </c>
      <c r="N11">
        <f t="shared" si="3"/>
        <v>0.87</v>
      </c>
    </row>
    <row r="12" spans="1:14" x14ac:dyDescent="0.3">
      <c r="A12">
        <v>1048576</v>
      </c>
      <c r="B12">
        <v>7</v>
      </c>
      <c r="C12">
        <v>-1</v>
      </c>
      <c r="D12">
        <v>256</v>
      </c>
      <c r="E12">
        <v>136.08998</v>
      </c>
      <c r="F12">
        <v>0.14214199999999999</v>
      </c>
      <c r="G12">
        <v>0.12478300000000001</v>
      </c>
      <c r="H12">
        <v>1.7191000000000001E-2</v>
      </c>
      <c r="I12">
        <v>7.8530000000000006E-3</v>
      </c>
      <c r="J12">
        <v>0.116844</v>
      </c>
      <c r="K12">
        <f t="shared" si="0"/>
        <v>0.88</v>
      </c>
      <c r="L12">
        <f t="shared" si="1"/>
        <v>0.12</v>
      </c>
      <c r="M12">
        <f t="shared" si="2"/>
        <v>0.06</v>
      </c>
      <c r="N12">
        <f t="shared" si="3"/>
        <v>0.94</v>
      </c>
    </row>
    <row r="13" spans="1:14" x14ac:dyDescent="0.3">
      <c r="A13">
        <v>4194304</v>
      </c>
      <c r="B13">
        <v>8</v>
      </c>
      <c r="C13">
        <v>1</v>
      </c>
      <c r="D13">
        <v>16</v>
      </c>
      <c r="E13">
        <v>222.03200000000001</v>
      </c>
      <c r="F13">
        <v>0.21628600000000001</v>
      </c>
      <c r="G13">
        <v>3.0672999999999999E-2</v>
      </c>
      <c r="H13">
        <v>0.185423</v>
      </c>
      <c r="I13">
        <v>4.0999999999999999E-4</v>
      </c>
      <c r="J13">
        <v>3.0186000000000001E-2</v>
      </c>
      <c r="K13">
        <f t="shared" si="0"/>
        <v>0.14000000000000001</v>
      </c>
      <c r="L13">
        <f t="shared" si="1"/>
        <v>0.86</v>
      </c>
      <c r="M13">
        <f t="shared" si="2"/>
        <v>0.01</v>
      </c>
      <c r="N13">
        <f t="shared" si="3"/>
        <v>0.98</v>
      </c>
    </row>
    <row r="14" spans="1:14" x14ac:dyDescent="0.3">
      <c r="A14">
        <v>4194304</v>
      </c>
      <c r="B14">
        <v>8</v>
      </c>
      <c r="C14">
        <v>0</v>
      </c>
      <c r="D14">
        <v>64</v>
      </c>
      <c r="E14">
        <v>218.25522000000001</v>
      </c>
      <c r="F14">
        <v>0.21693100000000001</v>
      </c>
      <c r="G14">
        <v>0.124144</v>
      </c>
      <c r="H14">
        <v>9.2603000000000005E-2</v>
      </c>
      <c r="I14">
        <v>4.7920000000000003E-3</v>
      </c>
      <c r="J14">
        <v>0.119273</v>
      </c>
      <c r="K14">
        <f t="shared" si="0"/>
        <v>0.56999999999999995</v>
      </c>
      <c r="L14">
        <f t="shared" si="1"/>
        <v>0.43</v>
      </c>
      <c r="M14">
        <f t="shared" si="2"/>
        <v>0.04</v>
      </c>
      <c r="N14">
        <f t="shared" si="3"/>
        <v>0.96</v>
      </c>
    </row>
    <row r="15" spans="1:14" x14ac:dyDescent="0.3">
      <c r="A15">
        <v>4194304</v>
      </c>
      <c r="B15">
        <v>8</v>
      </c>
      <c r="C15">
        <v>-1</v>
      </c>
      <c r="D15">
        <v>256</v>
      </c>
      <c r="E15">
        <v>544.21407999999997</v>
      </c>
      <c r="F15">
        <v>0.54603500000000005</v>
      </c>
      <c r="G15">
        <v>0.47815600000000003</v>
      </c>
      <c r="H15">
        <v>6.7693000000000003E-2</v>
      </c>
      <c r="I15">
        <v>7.8429999999999993E-3</v>
      </c>
      <c r="J15">
        <v>0.470219</v>
      </c>
      <c r="K15">
        <f t="shared" si="0"/>
        <v>0.88</v>
      </c>
      <c r="L15">
        <f t="shared" si="1"/>
        <v>0.12</v>
      </c>
      <c r="M15">
        <f t="shared" si="2"/>
        <v>0.02</v>
      </c>
      <c r="N15">
        <f t="shared" si="3"/>
        <v>0.98</v>
      </c>
    </row>
    <row r="16" spans="1:14" x14ac:dyDescent="0.3">
      <c r="A16">
        <v>16777216</v>
      </c>
      <c r="B16">
        <v>9</v>
      </c>
      <c r="C16">
        <v>1</v>
      </c>
      <c r="D16">
        <v>16</v>
      </c>
      <c r="E16">
        <v>881.84983999999997</v>
      </c>
      <c r="F16">
        <v>0.85919999999999996</v>
      </c>
      <c r="G16">
        <v>0.12138400000000001</v>
      </c>
      <c r="H16">
        <v>0.73760999999999999</v>
      </c>
      <c r="I16">
        <v>5.53E-4</v>
      </c>
      <c r="J16">
        <v>0.12074500000000001</v>
      </c>
      <c r="K16">
        <f t="shared" si="0"/>
        <v>0.14000000000000001</v>
      </c>
      <c r="L16">
        <f t="shared" si="1"/>
        <v>0.86</v>
      </c>
      <c r="M16">
        <f t="shared" si="2"/>
        <v>0</v>
      </c>
      <c r="N16">
        <f t="shared" si="3"/>
        <v>0.99</v>
      </c>
    </row>
    <row r="17" spans="1:22" x14ac:dyDescent="0.3">
      <c r="A17">
        <v>16777216</v>
      </c>
      <c r="B17">
        <v>9</v>
      </c>
      <c r="C17">
        <v>0</v>
      </c>
      <c r="D17">
        <v>64</v>
      </c>
      <c r="E17">
        <v>870.62036000000001</v>
      </c>
      <c r="F17">
        <v>0.85243400000000003</v>
      </c>
      <c r="G17">
        <v>0.48352899999999999</v>
      </c>
      <c r="H17">
        <v>0.36870000000000003</v>
      </c>
      <c r="I17">
        <v>4.9360000000000003E-3</v>
      </c>
      <c r="J17">
        <v>0.47849799999999998</v>
      </c>
      <c r="K17">
        <f t="shared" si="0"/>
        <v>0.56999999999999995</v>
      </c>
      <c r="L17">
        <f t="shared" si="1"/>
        <v>0.43</v>
      </c>
      <c r="M17">
        <f t="shared" si="2"/>
        <v>0.01</v>
      </c>
      <c r="N17">
        <f t="shared" si="3"/>
        <v>0.99</v>
      </c>
    </row>
    <row r="18" spans="1:22" x14ac:dyDescent="0.3">
      <c r="A18">
        <v>16777216</v>
      </c>
      <c r="B18">
        <v>9</v>
      </c>
      <c r="C18">
        <v>-1</v>
      </c>
      <c r="D18">
        <v>256</v>
      </c>
      <c r="E18">
        <v>2209.0028600000001</v>
      </c>
      <c r="F18">
        <v>2.2663030000000002</v>
      </c>
      <c r="G18">
        <v>1.9911920000000001</v>
      </c>
      <c r="H18">
        <v>0.27489599999999997</v>
      </c>
      <c r="I18">
        <v>7.9769999999999994E-2</v>
      </c>
      <c r="J18">
        <v>1.9113309999999999</v>
      </c>
      <c r="K18">
        <f t="shared" si="0"/>
        <v>0.88</v>
      </c>
      <c r="L18">
        <f t="shared" si="1"/>
        <v>0.12</v>
      </c>
      <c r="M18">
        <f t="shared" si="2"/>
        <v>0.04</v>
      </c>
      <c r="N18">
        <f t="shared" si="3"/>
        <v>0.96</v>
      </c>
    </row>
    <row r="32" spans="1:22" x14ac:dyDescent="0.3">
      <c r="A32" s="21" t="s">
        <v>34</v>
      </c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</row>
    <row r="35" spans="1:8" x14ac:dyDescent="0.3">
      <c r="A35" t="s">
        <v>0</v>
      </c>
      <c r="B35" t="s">
        <v>1</v>
      </c>
      <c r="C35" t="s">
        <v>2</v>
      </c>
      <c r="D35" t="s">
        <v>3</v>
      </c>
      <c r="E35" t="s">
        <v>10</v>
      </c>
      <c r="F35" t="s">
        <v>11</v>
      </c>
      <c r="G35" t="s">
        <v>29</v>
      </c>
      <c r="H35" s="15" t="s">
        <v>30</v>
      </c>
    </row>
    <row r="36" spans="1:8" x14ac:dyDescent="0.3">
      <c r="A36">
        <v>16384</v>
      </c>
      <c r="B36">
        <v>4</v>
      </c>
      <c r="C36">
        <v>1</v>
      </c>
      <c r="D36">
        <v>16</v>
      </c>
      <c r="E36">
        <v>0.3</v>
      </c>
      <c r="F36">
        <v>0.63</v>
      </c>
      <c r="G36">
        <f t="shared" ref="G36:G52" si="4">(LOG(D36,4)+5000/A36-1.5)/EXP(1)</f>
        <v>0.2962076164510295</v>
      </c>
      <c r="H36">
        <f>0.37*LOG(D36,4)+1839.4/A36-0.55</f>
        <v>0.30226806640624992</v>
      </c>
    </row>
    <row r="37" spans="1:8" x14ac:dyDescent="0.3">
      <c r="A37">
        <v>65536</v>
      </c>
      <c r="B37">
        <v>5</v>
      </c>
      <c r="C37">
        <v>1</v>
      </c>
      <c r="D37">
        <v>16</v>
      </c>
      <c r="E37">
        <v>0.2</v>
      </c>
      <c r="F37">
        <v>0.76</v>
      </c>
      <c r="G37">
        <f t="shared" si="4"/>
        <v>0.21200669455204826</v>
      </c>
      <c r="H37">
        <f t="shared" ref="H37:H52" si="5">0.37*LOG(D37,4)+1839.4/A37-0.55</f>
        <v>0.21806701660156247</v>
      </c>
    </row>
    <row r="38" spans="1:8" x14ac:dyDescent="0.3">
      <c r="A38">
        <v>262144</v>
      </c>
      <c r="B38">
        <v>6</v>
      </c>
      <c r="C38">
        <v>1</v>
      </c>
      <c r="D38">
        <v>16</v>
      </c>
      <c r="E38">
        <v>0.16</v>
      </c>
      <c r="F38">
        <v>0.83</v>
      </c>
      <c r="G38">
        <f t="shared" si="4"/>
        <v>0.19095646407730293</v>
      </c>
      <c r="H38">
        <f t="shared" si="5"/>
        <v>0.19701675415039055</v>
      </c>
    </row>
    <row r="39" spans="1:8" x14ac:dyDescent="0.3">
      <c r="A39">
        <v>1048576</v>
      </c>
      <c r="B39">
        <v>7</v>
      </c>
      <c r="C39">
        <v>1</v>
      </c>
      <c r="D39">
        <v>16</v>
      </c>
      <c r="E39">
        <v>0.15</v>
      </c>
      <c r="F39">
        <v>0.85</v>
      </c>
      <c r="G39">
        <f t="shared" si="4"/>
        <v>0.18569390645861661</v>
      </c>
      <c r="H39">
        <f t="shared" si="5"/>
        <v>0.19175418853759763</v>
      </c>
    </row>
    <row r="40" spans="1:8" x14ac:dyDescent="0.3">
      <c r="A40">
        <v>4194304</v>
      </c>
      <c r="B40">
        <v>8</v>
      </c>
      <c r="C40">
        <v>1</v>
      </c>
      <c r="D40">
        <v>16</v>
      </c>
      <c r="E40">
        <v>0.14000000000000001</v>
      </c>
      <c r="F40">
        <v>0.86</v>
      </c>
      <c r="G40">
        <f t="shared" si="4"/>
        <v>0.18437826705394503</v>
      </c>
      <c r="H40">
        <f t="shared" si="5"/>
        <v>0.19043854713439934</v>
      </c>
    </row>
    <row r="41" spans="1:8" x14ac:dyDescent="0.3">
      <c r="A41">
        <v>16777216</v>
      </c>
      <c r="B41">
        <v>9</v>
      </c>
      <c r="C41">
        <v>1</v>
      </c>
      <c r="D41">
        <v>16</v>
      </c>
      <c r="E41">
        <v>0.14000000000000001</v>
      </c>
      <c r="F41">
        <v>0.86</v>
      </c>
      <c r="G41">
        <f t="shared" si="4"/>
        <v>0.18404935720277713</v>
      </c>
      <c r="H41">
        <f t="shared" si="5"/>
        <v>0.19010963678359982</v>
      </c>
    </row>
    <row r="42" spans="1:8" x14ac:dyDescent="0.3">
      <c r="A42">
        <v>16384</v>
      </c>
      <c r="B42">
        <v>4</v>
      </c>
      <c r="C42">
        <v>0</v>
      </c>
      <c r="D42">
        <v>64</v>
      </c>
      <c r="E42">
        <v>0.73</v>
      </c>
      <c r="F42">
        <v>0.22</v>
      </c>
      <c r="G42">
        <f t="shared" si="4"/>
        <v>0.66408705762247189</v>
      </c>
      <c r="H42">
        <f t="shared" si="5"/>
        <v>0.67226806640624992</v>
      </c>
    </row>
    <row r="43" spans="1:8" x14ac:dyDescent="0.3">
      <c r="A43">
        <v>65536</v>
      </c>
      <c r="B43">
        <v>5</v>
      </c>
      <c r="C43">
        <v>0</v>
      </c>
      <c r="D43">
        <v>64</v>
      </c>
      <c r="E43">
        <v>0.63</v>
      </c>
      <c r="F43">
        <v>0.34</v>
      </c>
      <c r="G43">
        <f t="shared" si="4"/>
        <v>0.57988613572349057</v>
      </c>
      <c r="H43">
        <f t="shared" si="5"/>
        <v>0.58806701660156224</v>
      </c>
    </row>
    <row r="44" spans="1:8" x14ac:dyDescent="0.3">
      <c r="A44">
        <v>262144</v>
      </c>
      <c r="B44">
        <v>6</v>
      </c>
      <c r="C44">
        <v>0</v>
      </c>
      <c r="D44">
        <v>64</v>
      </c>
      <c r="E44">
        <v>0.57999999999999996</v>
      </c>
      <c r="F44">
        <v>0.41</v>
      </c>
      <c r="G44">
        <f t="shared" si="4"/>
        <v>0.55883590524874527</v>
      </c>
      <c r="H44">
        <f t="shared" si="5"/>
        <v>0.56701675415039055</v>
      </c>
    </row>
    <row r="45" spans="1:8" x14ac:dyDescent="0.3">
      <c r="A45">
        <v>1048576</v>
      </c>
      <c r="B45">
        <v>7</v>
      </c>
      <c r="C45">
        <v>0</v>
      </c>
      <c r="D45">
        <v>64</v>
      </c>
      <c r="E45">
        <v>0.6</v>
      </c>
      <c r="F45">
        <v>0.4</v>
      </c>
      <c r="G45">
        <f t="shared" si="4"/>
        <v>0.55357334763005894</v>
      </c>
      <c r="H45">
        <f t="shared" si="5"/>
        <v>0.5617541885375974</v>
      </c>
    </row>
    <row r="46" spans="1:8" x14ac:dyDescent="0.3">
      <c r="A46">
        <v>4194304</v>
      </c>
      <c r="B46">
        <v>8</v>
      </c>
      <c r="C46">
        <v>0</v>
      </c>
      <c r="D46">
        <v>64</v>
      </c>
      <c r="E46">
        <v>0.56999999999999995</v>
      </c>
      <c r="F46">
        <v>0.43</v>
      </c>
      <c r="G46">
        <f t="shared" si="4"/>
        <v>0.55225770822538733</v>
      </c>
      <c r="H46">
        <f t="shared" si="5"/>
        <v>0.56043854713439933</v>
      </c>
    </row>
    <row r="47" spans="1:8" x14ac:dyDescent="0.3">
      <c r="A47">
        <v>16777216</v>
      </c>
      <c r="B47">
        <v>9</v>
      </c>
      <c r="C47">
        <v>0</v>
      </c>
      <c r="D47">
        <v>64</v>
      </c>
      <c r="E47">
        <v>0.56999999999999995</v>
      </c>
      <c r="F47">
        <v>0.43</v>
      </c>
      <c r="G47">
        <f t="shared" si="4"/>
        <v>0.55192879837421949</v>
      </c>
      <c r="H47">
        <f t="shared" si="5"/>
        <v>0.5601096367835996</v>
      </c>
    </row>
    <row r="48" spans="1:8" x14ac:dyDescent="0.3">
      <c r="A48">
        <v>65536</v>
      </c>
      <c r="B48">
        <v>5</v>
      </c>
      <c r="C48">
        <v>-1</v>
      </c>
      <c r="D48">
        <v>256</v>
      </c>
      <c r="E48">
        <v>0.91</v>
      </c>
      <c r="F48">
        <v>0.08</v>
      </c>
      <c r="G48">
        <f t="shared" si="4"/>
        <v>0.9477655768949329</v>
      </c>
      <c r="H48">
        <f t="shared" si="5"/>
        <v>0.95806701660156235</v>
      </c>
    </row>
    <row r="49" spans="1:21" x14ac:dyDescent="0.3">
      <c r="A49">
        <v>262144</v>
      </c>
      <c r="B49">
        <v>6</v>
      </c>
      <c r="C49">
        <v>-1</v>
      </c>
      <c r="D49">
        <v>256</v>
      </c>
      <c r="E49">
        <v>0.89</v>
      </c>
      <c r="F49">
        <v>0.11</v>
      </c>
      <c r="G49">
        <f t="shared" si="4"/>
        <v>0.9267153464201876</v>
      </c>
      <c r="H49">
        <f t="shared" si="5"/>
        <v>0.93701675415039065</v>
      </c>
    </row>
    <row r="50" spans="1:21" x14ac:dyDescent="0.3">
      <c r="A50">
        <v>1048576</v>
      </c>
      <c r="B50">
        <v>7</v>
      </c>
      <c r="C50">
        <v>-1</v>
      </c>
      <c r="D50">
        <v>256</v>
      </c>
      <c r="E50">
        <v>0.88</v>
      </c>
      <c r="F50">
        <v>0.12</v>
      </c>
      <c r="G50">
        <f t="shared" si="4"/>
        <v>0.92145278880150128</v>
      </c>
      <c r="H50">
        <f t="shared" si="5"/>
        <v>0.93175418853759751</v>
      </c>
    </row>
    <row r="51" spans="1:21" x14ac:dyDescent="0.3">
      <c r="A51">
        <v>4194304</v>
      </c>
      <c r="B51">
        <v>8</v>
      </c>
      <c r="C51">
        <v>-1</v>
      </c>
      <c r="D51">
        <v>256</v>
      </c>
      <c r="E51">
        <v>0.88</v>
      </c>
      <c r="F51">
        <v>0.12</v>
      </c>
      <c r="G51">
        <f t="shared" si="4"/>
        <v>0.92013714939682967</v>
      </c>
      <c r="H51">
        <f t="shared" si="5"/>
        <v>0.93043854713439944</v>
      </c>
    </row>
    <row r="52" spans="1:21" x14ac:dyDescent="0.3">
      <c r="A52">
        <v>16777216</v>
      </c>
      <c r="B52">
        <v>9</v>
      </c>
      <c r="C52">
        <v>-1</v>
      </c>
      <c r="D52">
        <v>256</v>
      </c>
      <c r="E52">
        <v>0.88</v>
      </c>
      <c r="F52">
        <v>0.12</v>
      </c>
      <c r="G52">
        <f t="shared" si="4"/>
        <v>0.91980823954566182</v>
      </c>
      <c r="H52">
        <f t="shared" si="5"/>
        <v>0.9301096367835997</v>
      </c>
    </row>
    <row r="56" spans="1:21" x14ac:dyDescent="0.3">
      <c r="A56" s="21" t="s">
        <v>35</v>
      </c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</row>
    <row r="60" spans="1:21" x14ac:dyDescent="0.3">
      <c r="A60" s="1" t="s">
        <v>0</v>
      </c>
      <c r="B60" t="s">
        <v>1</v>
      </c>
      <c r="C60" t="s">
        <v>2</v>
      </c>
      <c r="D60" t="s">
        <v>3</v>
      </c>
      <c r="E60" t="s">
        <v>8</v>
      </c>
      <c r="F60" s="1" t="s">
        <v>9</v>
      </c>
      <c r="G60" t="s">
        <v>31</v>
      </c>
      <c r="H60" t="s">
        <v>32</v>
      </c>
      <c r="I60" s="15" t="s">
        <v>30</v>
      </c>
      <c r="J60" t="s">
        <v>33</v>
      </c>
    </row>
    <row r="61" spans="1:21" x14ac:dyDescent="0.3">
      <c r="A61">
        <v>16384</v>
      </c>
      <c r="B61">
        <v>4</v>
      </c>
      <c r="C61">
        <v>1</v>
      </c>
      <c r="D61">
        <v>16</v>
      </c>
      <c r="E61">
        <v>1.64E-4</v>
      </c>
      <c r="F61">
        <v>1.74E-4</v>
      </c>
      <c r="G61">
        <f>E61/(E61+F61)</f>
        <v>0.48520710059171601</v>
      </c>
      <c r="H61">
        <f>F61/(E61+F61)</f>
        <v>0.5147928994082841</v>
      </c>
      <c r="I61">
        <f>((A61*D61)-LOG(A61,4))/2200000000</f>
        <v>1.1915318181818182E-4</v>
      </c>
      <c r="J61">
        <f>ABS(I61-F61)/F61</f>
        <v>0.31521159874608146</v>
      </c>
    </row>
    <row r="62" spans="1:21" x14ac:dyDescent="0.3">
      <c r="A62">
        <v>16384</v>
      </c>
      <c r="B62">
        <v>4</v>
      </c>
      <c r="C62">
        <v>0</v>
      </c>
      <c r="D62">
        <v>64</v>
      </c>
      <c r="E62">
        <v>5.9400000000000002E-4</v>
      </c>
      <c r="F62">
        <v>6.0300000000000002E-4</v>
      </c>
      <c r="G62">
        <f t="shared" ref="G62:G77" si="6">E62/(E62+F62)</f>
        <v>0.49624060150375937</v>
      </c>
      <c r="H62">
        <f t="shared" ref="H62:H77" si="7">F62/(E62+F62)</f>
        <v>0.50375939849624052</v>
      </c>
      <c r="I62">
        <f t="shared" ref="I62:I77" si="8">((A62*D62)-LOG(A62,4))/2200000000</f>
        <v>4.7662227272727274E-4</v>
      </c>
      <c r="J62">
        <f t="shared" ref="J62:J77" si="9">ABS(I62-F62)/F62</f>
        <v>0.20958163726820445</v>
      </c>
    </row>
    <row r="63" spans="1:21" x14ac:dyDescent="0.3">
      <c r="A63">
        <v>65536</v>
      </c>
      <c r="B63">
        <v>5</v>
      </c>
      <c r="C63">
        <v>1</v>
      </c>
      <c r="D63">
        <v>16</v>
      </c>
      <c r="E63">
        <v>1.35E-4</v>
      </c>
      <c r="F63">
        <v>5.6499999999999996E-4</v>
      </c>
      <c r="G63">
        <f t="shared" si="6"/>
        <v>0.19285714285714287</v>
      </c>
      <c r="H63">
        <f t="shared" si="7"/>
        <v>0.80714285714285705</v>
      </c>
      <c r="I63">
        <f t="shared" si="8"/>
        <v>4.7662181818181818E-4</v>
      </c>
      <c r="J63">
        <f t="shared" si="9"/>
        <v>0.15642156074014477</v>
      </c>
    </row>
    <row r="64" spans="1:21" x14ac:dyDescent="0.3">
      <c r="A64">
        <v>65536</v>
      </c>
      <c r="B64">
        <v>5</v>
      </c>
      <c r="C64">
        <v>0</v>
      </c>
      <c r="D64">
        <v>64</v>
      </c>
      <c r="E64">
        <v>6.1399999999999996E-4</v>
      </c>
      <c r="F64">
        <v>2.0669999999999998E-3</v>
      </c>
      <c r="G64">
        <f t="shared" si="6"/>
        <v>0.22901902275270422</v>
      </c>
      <c r="H64">
        <f t="shared" si="7"/>
        <v>0.77098097724729575</v>
      </c>
      <c r="I64">
        <f t="shared" si="8"/>
        <v>1.9064981818181818E-3</v>
      </c>
      <c r="J64">
        <f t="shared" si="9"/>
        <v>7.7649645951532689E-2</v>
      </c>
    </row>
    <row r="65" spans="1:21" x14ac:dyDescent="0.3">
      <c r="A65">
        <v>65536</v>
      </c>
      <c r="B65">
        <v>5</v>
      </c>
      <c r="C65">
        <v>-1</v>
      </c>
      <c r="D65">
        <v>256</v>
      </c>
      <c r="E65">
        <v>7.8440000000000003E-3</v>
      </c>
      <c r="F65">
        <v>8.0289999999999997E-3</v>
      </c>
      <c r="G65">
        <f t="shared" si="6"/>
        <v>0.49417249417249426</v>
      </c>
      <c r="H65">
        <f t="shared" si="7"/>
        <v>0.50582750582750591</v>
      </c>
      <c r="I65">
        <f t="shared" si="8"/>
        <v>7.6260036363636364E-3</v>
      </c>
      <c r="J65">
        <f t="shared" si="9"/>
        <v>5.0192597289371442E-2</v>
      </c>
    </row>
    <row r="66" spans="1:21" x14ac:dyDescent="0.3">
      <c r="A66">
        <v>262144</v>
      </c>
      <c r="B66">
        <v>6</v>
      </c>
      <c r="C66">
        <v>1</v>
      </c>
      <c r="D66">
        <v>16</v>
      </c>
      <c r="E66">
        <v>1.34E-4</v>
      </c>
      <c r="F66">
        <v>1.9719999999999998E-3</v>
      </c>
      <c r="G66">
        <f t="shared" si="6"/>
        <v>6.3627730294396972E-2</v>
      </c>
      <c r="H66">
        <f t="shared" si="7"/>
        <v>0.93637226970560306</v>
      </c>
      <c r="I66">
        <f t="shared" si="8"/>
        <v>1.9064977272727273E-3</v>
      </c>
      <c r="J66">
        <f t="shared" si="9"/>
        <v>3.3216162640604695E-2</v>
      </c>
    </row>
    <row r="67" spans="1:21" x14ac:dyDescent="0.3">
      <c r="A67">
        <v>262144</v>
      </c>
      <c r="B67">
        <v>6</v>
      </c>
      <c r="C67">
        <v>0</v>
      </c>
      <c r="D67">
        <v>64</v>
      </c>
      <c r="E67">
        <v>5.7899999999999998E-4</v>
      </c>
      <c r="F67">
        <v>7.4279999999999997E-3</v>
      </c>
      <c r="G67">
        <f t="shared" si="6"/>
        <v>7.2311727238666162E-2</v>
      </c>
      <c r="H67">
        <f t="shared" si="7"/>
        <v>0.92768827276133381</v>
      </c>
      <c r="I67">
        <f t="shared" si="8"/>
        <v>7.6260031818181822E-3</v>
      </c>
      <c r="J67">
        <f t="shared" si="9"/>
        <v>2.6656324962060104E-2</v>
      </c>
    </row>
    <row r="68" spans="1:21" x14ac:dyDescent="0.3">
      <c r="A68">
        <v>262144</v>
      </c>
      <c r="B68">
        <v>6</v>
      </c>
      <c r="C68">
        <v>-1</v>
      </c>
      <c r="D68">
        <v>256</v>
      </c>
      <c r="E68">
        <v>7.8849999999999996E-3</v>
      </c>
      <c r="F68">
        <v>2.9089E-2</v>
      </c>
      <c r="G68">
        <f t="shared" si="6"/>
        <v>0.21325796505652619</v>
      </c>
      <c r="H68">
        <f t="shared" si="7"/>
        <v>0.78674203494347383</v>
      </c>
      <c r="I68">
        <f t="shared" si="8"/>
        <v>3.0504025000000001E-2</v>
      </c>
      <c r="J68">
        <f t="shared" si="9"/>
        <v>4.8644676681907258E-2</v>
      </c>
    </row>
    <row r="69" spans="1:21" x14ac:dyDescent="0.3">
      <c r="A69">
        <v>1048576</v>
      </c>
      <c r="B69">
        <v>7</v>
      </c>
      <c r="C69">
        <v>1</v>
      </c>
      <c r="D69">
        <v>16</v>
      </c>
      <c r="E69">
        <v>5.7300000000000005E-4</v>
      </c>
      <c r="F69">
        <v>7.8279999999999999E-3</v>
      </c>
      <c r="G69">
        <f t="shared" si="6"/>
        <v>6.8206165932627072E-2</v>
      </c>
      <c r="H69">
        <f t="shared" si="7"/>
        <v>0.93179383406737282</v>
      </c>
      <c r="I69">
        <f t="shared" si="8"/>
        <v>7.6260027272727271E-3</v>
      </c>
      <c r="J69">
        <f t="shared" si="9"/>
        <v>2.5804454870627595E-2</v>
      </c>
    </row>
    <row r="70" spans="1:21" x14ac:dyDescent="0.3">
      <c r="A70">
        <v>1048576</v>
      </c>
      <c r="B70">
        <v>7</v>
      </c>
      <c r="C70">
        <v>0</v>
      </c>
      <c r="D70">
        <v>64</v>
      </c>
      <c r="E70">
        <v>4.8129999999999996E-3</v>
      </c>
      <c r="F70">
        <v>3.1528E-2</v>
      </c>
      <c r="G70">
        <f t="shared" si="6"/>
        <v>0.132439943865056</v>
      </c>
      <c r="H70">
        <f t="shared" si="7"/>
        <v>0.86756005613494402</v>
      </c>
      <c r="I70">
        <f t="shared" si="8"/>
        <v>3.0504024545454544E-2</v>
      </c>
      <c r="J70">
        <f t="shared" si="9"/>
        <v>3.2478287698092384E-2</v>
      </c>
    </row>
    <row r="71" spans="1:21" x14ac:dyDescent="0.3">
      <c r="A71">
        <v>1048576</v>
      </c>
      <c r="B71">
        <v>7</v>
      </c>
      <c r="C71">
        <v>-1</v>
      </c>
      <c r="D71">
        <v>256</v>
      </c>
      <c r="E71">
        <v>7.8530000000000006E-3</v>
      </c>
      <c r="F71">
        <v>0.116844</v>
      </c>
      <c r="G71">
        <f t="shared" si="6"/>
        <v>6.2976655412720434E-2</v>
      </c>
      <c r="H71">
        <f t="shared" si="7"/>
        <v>0.93702334458727954</v>
      </c>
      <c r="I71">
        <f t="shared" si="8"/>
        <v>0.12201611181818182</v>
      </c>
      <c r="J71">
        <f t="shared" si="9"/>
        <v>4.4265104054823701E-2</v>
      </c>
    </row>
    <row r="72" spans="1:21" x14ac:dyDescent="0.3">
      <c r="A72">
        <v>4194304</v>
      </c>
      <c r="B72">
        <v>8</v>
      </c>
      <c r="C72">
        <v>1</v>
      </c>
      <c r="D72">
        <v>16</v>
      </c>
      <c r="E72">
        <v>4.0999999999999999E-4</v>
      </c>
      <c r="F72">
        <v>3.0186000000000001E-2</v>
      </c>
      <c r="G72">
        <f t="shared" si="6"/>
        <v>1.3400444502549352E-2</v>
      </c>
      <c r="H72">
        <f t="shared" si="7"/>
        <v>0.9865995554974506</v>
      </c>
      <c r="I72">
        <f t="shared" si="8"/>
        <v>3.050402409090909E-2</v>
      </c>
      <c r="J72">
        <f t="shared" si="9"/>
        <v>1.0535483035482985E-2</v>
      </c>
    </row>
    <row r="73" spans="1:21" x14ac:dyDescent="0.3">
      <c r="A73">
        <v>4194304</v>
      </c>
      <c r="B73">
        <v>8</v>
      </c>
      <c r="C73">
        <v>0</v>
      </c>
      <c r="D73">
        <v>64</v>
      </c>
      <c r="E73">
        <v>4.7920000000000003E-3</v>
      </c>
      <c r="F73">
        <v>0.119273</v>
      </c>
      <c r="G73">
        <f t="shared" si="6"/>
        <v>3.8624914359408374E-2</v>
      </c>
      <c r="H73">
        <f t="shared" si="7"/>
        <v>0.9613750856405916</v>
      </c>
      <c r="I73">
        <f t="shared" si="8"/>
        <v>0.12201611136363637</v>
      </c>
      <c r="J73">
        <f t="shared" si="9"/>
        <v>2.2998594515408879E-2</v>
      </c>
    </row>
    <row r="74" spans="1:21" x14ac:dyDescent="0.3">
      <c r="A74">
        <v>4194304</v>
      </c>
      <c r="B74">
        <v>8</v>
      </c>
      <c r="C74">
        <v>-1</v>
      </c>
      <c r="D74">
        <v>256</v>
      </c>
      <c r="E74">
        <v>7.8429999999999993E-3</v>
      </c>
      <c r="F74">
        <v>0.470219</v>
      </c>
      <c r="G74">
        <f t="shared" si="6"/>
        <v>1.6405821839008329E-2</v>
      </c>
      <c r="H74">
        <f t="shared" si="7"/>
        <v>0.98359417816099171</v>
      </c>
      <c r="I74">
        <f t="shared" si="8"/>
        <v>0.48806446045454543</v>
      </c>
      <c r="J74">
        <f t="shared" si="9"/>
        <v>3.7951381068279749E-2</v>
      </c>
    </row>
    <row r="75" spans="1:21" x14ac:dyDescent="0.3">
      <c r="A75">
        <v>16777216</v>
      </c>
      <c r="B75">
        <v>9</v>
      </c>
      <c r="C75">
        <v>1</v>
      </c>
      <c r="D75">
        <v>16</v>
      </c>
      <c r="E75">
        <v>5.53E-4</v>
      </c>
      <c r="F75">
        <v>0.12074500000000001</v>
      </c>
      <c r="G75">
        <f t="shared" si="6"/>
        <v>4.5590199343764938E-3</v>
      </c>
      <c r="H75">
        <f t="shared" si="7"/>
        <v>0.99544098006562354</v>
      </c>
      <c r="I75">
        <f t="shared" si="8"/>
        <v>0.12201611090909091</v>
      </c>
      <c r="J75">
        <f t="shared" si="9"/>
        <v>1.0527234329296498E-2</v>
      </c>
    </row>
    <row r="76" spans="1:21" x14ac:dyDescent="0.3">
      <c r="A76">
        <v>16777216</v>
      </c>
      <c r="B76">
        <v>9</v>
      </c>
      <c r="C76">
        <v>0</v>
      </c>
      <c r="D76">
        <v>64</v>
      </c>
      <c r="E76">
        <v>4.9360000000000003E-3</v>
      </c>
      <c r="F76">
        <v>0.47849799999999998</v>
      </c>
      <c r="G76">
        <f t="shared" si="6"/>
        <v>1.0210287236727249E-2</v>
      </c>
      <c r="H76">
        <f t="shared" si="7"/>
        <v>0.98978971276327277</v>
      </c>
      <c r="I76">
        <f t="shared" si="8"/>
        <v>0.48806445999999998</v>
      </c>
      <c r="J76">
        <f t="shared" si="9"/>
        <v>1.999268544487124E-2</v>
      </c>
    </row>
    <row r="77" spans="1:21" x14ac:dyDescent="0.3">
      <c r="A77">
        <v>16777216</v>
      </c>
      <c r="B77">
        <v>9</v>
      </c>
      <c r="C77">
        <v>-1</v>
      </c>
      <c r="D77">
        <v>256</v>
      </c>
      <c r="E77">
        <v>7.9769999999999994E-2</v>
      </c>
      <c r="F77">
        <v>1.9113309999999999</v>
      </c>
      <c r="G77">
        <f t="shared" si="6"/>
        <v>4.0063261481963999E-2</v>
      </c>
      <c r="H77">
        <f t="shared" si="7"/>
        <v>0.95993673851803607</v>
      </c>
      <c r="I77">
        <f t="shared" si="8"/>
        <v>1.9522578563636364</v>
      </c>
      <c r="J77">
        <f t="shared" si="9"/>
        <v>2.1412751827724487E-2</v>
      </c>
    </row>
    <row r="79" spans="1:21" x14ac:dyDescent="0.3">
      <c r="A79" s="21" t="s">
        <v>36</v>
      </c>
      <c r="B79" s="21"/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</row>
    <row r="81" spans="1:11" x14ac:dyDescent="0.3">
      <c r="A81" t="s">
        <v>0</v>
      </c>
      <c r="B81" t="s">
        <v>1</v>
      </c>
      <c r="C81" s="1" t="s">
        <v>3</v>
      </c>
      <c r="D81" s="2" t="s">
        <v>37</v>
      </c>
      <c r="E81" s="2" t="s">
        <v>38</v>
      </c>
      <c r="F81" s="1" t="s">
        <v>8</v>
      </c>
      <c r="G81" t="s">
        <v>9</v>
      </c>
      <c r="H81" t="s">
        <v>39</v>
      </c>
      <c r="I81" t="s">
        <v>32</v>
      </c>
      <c r="J81" t="s">
        <v>30</v>
      </c>
      <c r="K81" t="s">
        <v>49</v>
      </c>
    </row>
    <row r="82" spans="1:11" x14ac:dyDescent="0.3">
      <c r="A82">
        <v>16384</v>
      </c>
      <c r="B82">
        <v>4</v>
      </c>
      <c r="C82">
        <v>16</v>
      </c>
      <c r="D82">
        <v>4</v>
      </c>
      <c r="E82">
        <f t="shared" ref="E82:E98" si="10">(2*9*POWER(D82,4)*16)/1024</f>
        <v>72</v>
      </c>
      <c r="F82">
        <v>1.64E-4</v>
      </c>
      <c r="G82">
        <v>1.74E-4</v>
      </c>
      <c r="H82">
        <f>F82/(F82+G82)</f>
        <v>0.48520710059171601</v>
      </c>
      <c r="I82">
        <f t="shared" ref="I82:I98" si="11">G82/(F82+G82)</f>
        <v>0.5147928994082841</v>
      </c>
      <c r="J82">
        <f t="shared" ref="J82:J90" si="12">(1.2*0.000001*LOG(A82)+0.0005*C82)/32</f>
        <v>2.5015804074772361E-4</v>
      </c>
      <c r="K82">
        <f>10/(POWER(B82,4))</f>
        <v>3.90625E-2</v>
      </c>
    </row>
    <row r="83" spans="1:11" x14ac:dyDescent="0.3">
      <c r="A83">
        <v>65536</v>
      </c>
      <c r="B83">
        <v>5</v>
      </c>
      <c r="C83">
        <v>16</v>
      </c>
      <c r="D83">
        <v>4</v>
      </c>
      <c r="E83">
        <f t="shared" si="10"/>
        <v>72</v>
      </c>
      <c r="F83">
        <v>1.35E-4</v>
      </c>
      <c r="G83">
        <v>5.6499999999999996E-4</v>
      </c>
      <c r="H83">
        <f t="shared" ref="H83:H98" si="13">F83/(F83+G83)</f>
        <v>0.19285714285714287</v>
      </c>
      <c r="I83">
        <f t="shared" si="11"/>
        <v>0.80714285714285705</v>
      </c>
      <c r="J83">
        <f t="shared" si="12"/>
        <v>2.5018061799739839E-4</v>
      </c>
      <c r="K83">
        <f t="shared" ref="K83:K93" si="14">10/(POWER(B83,4))</f>
        <v>1.6E-2</v>
      </c>
    </row>
    <row r="84" spans="1:11" x14ac:dyDescent="0.3">
      <c r="A84">
        <v>262144</v>
      </c>
      <c r="B84">
        <v>6</v>
      </c>
      <c r="C84">
        <v>16</v>
      </c>
      <c r="D84">
        <v>4</v>
      </c>
      <c r="E84">
        <f t="shared" si="10"/>
        <v>72</v>
      </c>
      <c r="F84">
        <v>1.34E-4</v>
      </c>
      <c r="G84">
        <v>1.9719999999999998E-3</v>
      </c>
      <c r="H84">
        <f t="shared" si="13"/>
        <v>6.3627730294396972E-2</v>
      </c>
      <c r="I84">
        <f t="shared" si="11"/>
        <v>0.93637226970560306</v>
      </c>
      <c r="J84">
        <f t="shared" si="12"/>
        <v>2.5020319524707318E-4</v>
      </c>
      <c r="K84">
        <f t="shared" si="14"/>
        <v>7.716049382716049E-3</v>
      </c>
    </row>
    <row r="85" spans="1:11" x14ac:dyDescent="0.3">
      <c r="A85">
        <v>1048576</v>
      </c>
      <c r="B85">
        <v>7</v>
      </c>
      <c r="C85">
        <v>16</v>
      </c>
      <c r="D85">
        <v>4</v>
      </c>
      <c r="E85">
        <f t="shared" si="10"/>
        <v>72</v>
      </c>
      <c r="F85">
        <v>5.7300000000000005E-4</v>
      </c>
      <c r="G85">
        <v>7.8279999999999999E-3</v>
      </c>
      <c r="H85">
        <f t="shared" si="13"/>
        <v>6.8206165932627072E-2</v>
      </c>
      <c r="I85">
        <f t="shared" si="11"/>
        <v>0.93179383406737282</v>
      </c>
      <c r="J85">
        <f t="shared" si="12"/>
        <v>2.5022577249674802E-4</v>
      </c>
      <c r="K85">
        <f t="shared" si="14"/>
        <v>4.1649312786339026E-3</v>
      </c>
    </row>
    <row r="86" spans="1:11" x14ac:dyDescent="0.3">
      <c r="A86">
        <v>4194304</v>
      </c>
      <c r="B86">
        <v>8</v>
      </c>
      <c r="C86">
        <v>16</v>
      </c>
      <c r="D86">
        <v>4</v>
      </c>
      <c r="E86">
        <f t="shared" si="10"/>
        <v>72</v>
      </c>
      <c r="F86">
        <v>4.0999999999999999E-4</v>
      </c>
      <c r="G86">
        <v>3.0186000000000001E-2</v>
      </c>
      <c r="H86">
        <f t="shared" si="13"/>
        <v>1.3400444502549352E-2</v>
      </c>
      <c r="I86">
        <f t="shared" si="11"/>
        <v>0.9865995554974506</v>
      </c>
      <c r="J86">
        <f t="shared" si="12"/>
        <v>2.502483497464228E-4</v>
      </c>
      <c r="K86">
        <f t="shared" si="14"/>
        <v>2.44140625E-3</v>
      </c>
    </row>
    <row r="87" spans="1:11" x14ac:dyDescent="0.3">
      <c r="A87">
        <v>16777216</v>
      </c>
      <c r="B87">
        <v>9</v>
      </c>
      <c r="C87">
        <v>16</v>
      </c>
      <c r="D87">
        <v>4</v>
      </c>
      <c r="E87">
        <f t="shared" si="10"/>
        <v>72</v>
      </c>
      <c r="F87">
        <v>5.53E-4</v>
      </c>
      <c r="G87">
        <v>0.12074500000000001</v>
      </c>
      <c r="H87">
        <f t="shared" si="13"/>
        <v>4.5590199343764938E-3</v>
      </c>
      <c r="I87">
        <f t="shared" si="11"/>
        <v>0.99544098006562354</v>
      </c>
      <c r="J87">
        <f t="shared" si="12"/>
        <v>2.5027092699609759E-4</v>
      </c>
      <c r="K87">
        <f t="shared" si="14"/>
        <v>1.5241579027587258E-3</v>
      </c>
    </row>
    <row r="88" spans="1:11" x14ac:dyDescent="0.3">
      <c r="A88">
        <v>16384</v>
      </c>
      <c r="B88">
        <v>4</v>
      </c>
      <c r="C88">
        <v>64</v>
      </c>
      <c r="D88">
        <v>8</v>
      </c>
      <c r="E88">
        <f t="shared" si="10"/>
        <v>1152</v>
      </c>
      <c r="F88">
        <v>5.9400000000000002E-4</v>
      </c>
      <c r="G88">
        <v>6.0300000000000002E-4</v>
      </c>
      <c r="H88">
        <f t="shared" si="13"/>
        <v>0.49624060150375937</v>
      </c>
      <c r="I88">
        <f t="shared" si="11"/>
        <v>0.50375939849624052</v>
      </c>
      <c r="J88">
        <f t="shared" si="12"/>
        <v>1.0001580407477237E-3</v>
      </c>
      <c r="K88">
        <f t="shared" si="14"/>
        <v>3.90625E-2</v>
      </c>
    </row>
    <row r="89" spans="1:11" x14ac:dyDescent="0.3">
      <c r="A89">
        <v>65536</v>
      </c>
      <c r="B89">
        <v>5</v>
      </c>
      <c r="C89">
        <v>64</v>
      </c>
      <c r="D89">
        <v>8</v>
      </c>
      <c r="E89">
        <f t="shared" si="10"/>
        <v>1152</v>
      </c>
      <c r="F89">
        <v>6.1399999999999996E-4</v>
      </c>
      <c r="G89">
        <v>2.0669999999999998E-3</v>
      </c>
      <c r="H89">
        <f t="shared" si="13"/>
        <v>0.22901902275270422</v>
      </c>
      <c r="I89">
        <f t="shared" si="11"/>
        <v>0.77098097724729575</v>
      </c>
      <c r="J89">
        <f t="shared" si="12"/>
        <v>1.0001806179973985E-3</v>
      </c>
      <c r="K89">
        <f t="shared" si="14"/>
        <v>1.6E-2</v>
      </c>
    </row>
    <row r="90" spans="1:11" x14ac:dyDescent="0.3">
      <c r="A90">
        <v>262144</v>
      </c>
      <c r="B90">
        <v>6</v>
      </c>
      <c r="C90">
        <v>64</v>
      </c>
      <c r="D90">
        <v>8</v>
      </c>
      <c r="E90">
        <f t="shared" si="10"/>
        <v>1152</v>
      </c>
      <c r="F90">
        <v>5.7899999999999998E-4</v>
      </c>
      <c r="G90">
        <v>7.4279999999999997E-3</v>
      </c>
      <c r="H90">
        <f t="shared" si="13"/>
        <v>7.2311727238666162E-2</v>
      </c>
      <c r="I90">
        <f t="shared" si="11"/>
        <v>0.92768827276133381</v>
      </c>
      <c r="J90">
        <f t="shared" si="12"/>
        <v>1.0002031952470731E-3</v>
      </c>
      <c r="K90">
        <f t="shared" si="14"/>
        <v>7.716049382716049E-3</v>
      </c>
    </row>
    <row r="91" spans="1:11" x14ac:dyDescent="0.3">
      <c r="A91">
        <v>1048576</v>
      </c>
      <c r="B91">
        <v>7</v>
      </c>
      <c r="C91">
        <v>64</v>
      </c>
      <c r="D91">
        <v>8</v>
      </c>
      <c r="E91">
        <f t="shared" si="10"/>
        <v>1152</v>
      </c>
      <c r="F91">
        <v>4.8129999999999996E-3</v>
      </c>
      <c r="G91">
        <v>3.1528E-2</v>
      </c>
      <c r="H91">
        <f t="shared" si="13"/>
        <v>0.132439943865056</v>
      </c>
      <c r="I91">
        <f t="shared" si="11"/>
        <v>0.86756005613494402</v>
      </c>
      <c r="J91" s="14">
        <f>(1.2*0.000001*LOG(A91)+0.0027*C91)/32</f>
        <v>5.4002257724967487E-3</v>
      </c>
      <c r="K91">
        <f t="shared" si="14"/>
        <v>4.1649312786339026E-3</v>
      </c>
    </row>
    <row r="92" spans="1:11" x14ac:dyDescent="0.3">
      <c r="A92">
        <v>4194304</v>
      </c>
      <c r="B92">
        <v>8</v>
      </c>
      <c r="C92">
        <v>64</v>
      </c>
      <c r="D92">
        <v>8</v>
      </c>
      <c r="E92">
        <f t="shared" si="10"/>
        <v>1152</v>
      </c>
      <c r="F92">
        <v>4.7920000000000003E-3</v>
      </c>
      <c r="G92">
        <v>0.119273</v>
      </c>
      <c r="H92">
        <f t="shared" si="13"/>
        <v>3.8624914359408374E-2</v>
      </c>
      <c r="I92">
        <f t="shared" si="11"/>
        <v>0.9613750856405916</v>
      </c>
      <c r="J92" s="14">
        <f>(1.2*0.000001*LOG(A92)+0.0027*C92)/32</f>
        <v>5.4002483497464226E-3</v>
      </c>
      <c r="K92">
        <f t="shared" si="14"/>
        <v>2.44140625E-3</v>
      </c>
    </row>
    <row r="93" spans="1:11" x14ac:dyDescent="0.3">
      <c r="A93">
        <v>16777216</v>
      </c>
      <c r="B93">
        <v>9</v>
      </c>
      <c r="C93">
        <v>64</v>
      </c>
      <c r="D93">
        <v>8</v>
      </c>
      <c r="E93">
        <f t="shared" si="10"/>
        <v>1152</v>
      </c>
      <c r="F93">
        <v>4.9360000000000003E-3</v>
      </c>
      <c r="G93">
        <v>0.47849799999999998</v>
      </c>
      <c r="H93">
        <f t="shared" si="13"/>
        <v>1.0210287236727249E-2</v>
      </c>
      <c r="I93">
        <f t="shared" si="11"/>
        <v>0.98978971276327277</v>
      </c>
      <c r="J93" s="14">
        <f>(1.2*0.000001*LOG(A93)+0.0027*C93)/32</f>
        <v>5.4002709269960975E-3</v>
      </c>
      <c r="K93">
        <f t="shared" si="14"/>
        <v>1.5241579027587258E-3</v>
      </c>
    </row>
    <row r="94" spans="1:11" x14ac:dyDescent="0.3">
      <c r="A94">
        <v>65536</v>
      </c>
      <c r="B94">
        <v>5</v>
      </c>
      <c r="C94">
        <v>256</v>
      </c>
      <c r="D94">
        <v>16</v>
      </c>
      <c r="E94">
        <f t="shared" si="10"/>
        <v>18432</v>
      </c>
      <c r="F94">
        <v>7.8440000000000003E-3</v>
      </c>
      <c r="G94">
        <v>8.0289999999999997E-3</v>
      </c>
      <c r="H94">
        <f t="shared" si="13"/>
        <v>0.49417249417249426</v>
      </c>
      <c r="I94">
        <f t="shared" si="11"/>
        <v>0.50582750582750591</v>
      </c>
      <c r="J94">
        <f>(1.2*0.000001*LOG(A94)+0.001*C94)/32</f>
        <v>8.0001806179973989E-3</v>
      </c>
      <c r="K94">
        <f>10/(POWER(B94-1,4))</f>
        <v>3.90625E-2</v>
      </c>
    </row>
    <row r="95" spans="1:11" x14ac:dyDescent="0.3">
      <c r="A95">
        <v>262144</v>
      </c>
      <c r="B95">
        <v>6</v>
      </c>
      <c r="C95">
        <v>256</v>
      </c>
      <c r="D95">
        <v>16</v>
      </c>
      <c r="E95">
        <f t="shared" si="10"/>
        <v>18432</v>
      </c>
      <c r="F95">
        <v>7.8849999999999996E-3</v>
      </c>
      <c r="G95">
        <v>2.9089E-2</v>
      </c>
      <c r="H95">
        <f t="shared" si="13"/>
        <v>0.21325796505652619</v>
      </c>
      <c r="I95">
        <f t="shared" si="11"/>
        <v>0.78674203494347383</v>
      </c>
      <c r="J95">
        <f>(1.2*0.000001*LOG(A95)+0.001*C95)/32</f>
        <v>8.0002031952470729E-3</v>
      </c>
      <c r="K95">
        <f t="shared" ref="K95:K98" si="15">10/(POWER(B95-1,4))</f>
        <v>1.6E-2</v>
      </c>
    </row>
    <row r="96" spans="1:11" x14ac:dyDescent="0.3">
      <c r="A96">
        <v>1048576</v>
      </c>
      <c r="B96">
        <v>7</v>
      </c>
      <c r="C96">
        <v>256</v>
      </c>
      <c r="D96">
        <v>16</v>
      </c>
      <c r="E96">
        <f t="shared" si="10"/>
        <v>18432</v>
      </c>
      <c r="F96">
        <v>7.8530000000000006E-3</v>
      </c>
      <c r="G96">
        <v>0.116844</v>
      </c>
      <c r="H96">
        <f t="shared" si="13"/>
        <v>6.2976655412720434E-2</v>
      </c>
      <c r="I96">
        <f t="shared" si="11"/>
        <v>0.93702334458727954</v>
      </c>
      <c r="J96">
        <f>(1.2*0.000001*LOG(A96)+0.001*C96)/32</f>
        <v>8.0002257724967486E-3</v>
      </c>
      <c r="K96">
        <f t="shared" si="15"/>
        <v>7.716049382716049E-3</v>
      </c>
    </row>
    <row r="97" spans="1:11" x14ac:dyDescent="0.3">
      <c r="A97">
        <v>4194304</v>
      </c>
      <c r="B97">
        <v>8</v>
      </c>
      <c r="C97">
        <v>256</v>
      </c>
      <c r="D97">
        <v>16</v>
      </c>
      <c r="E97">
        <f t="shared" si="10"/>
        <v>18432</v>
      </c>
      <c r="F97">
        <v>7.8429999999999993E-3</v>
      </c>
      <c r="G97">
        <v>0.470219</v>
      </c>
      <c r="H97">
        <f t="shared" si="13"/>
        <v>1.6405821839008329E-2</v>
      </c>
      <c r="I97">
        <f t="shared" si="11"/>
        <v>0.98359417816099171</v>
      </c>
      <c r="J97">
        <f>(1.2*0.000001*LOG(A97)+0.001*C97)/32</f>
        <v>8.0002483497464225E-3</v>
      </c>
      <c r="K97">
        <f t="shared" si="15"/>
        <v>4.1649312786339026E-3</v>
      </c>
    </row>
    <row r="98" spans="1:11" x14ac:dyDescent="0.3">
      <c r="A98">
        <v>16777216</v>
      </c>
      <c r="B98">
        <v>9</v>
      </c>
      <c r="C98">
        <v>256</v>
      </c>
      <c r="D98">
        <v>16</v>
      </c>
      <c r="E98">
        <f t="shared" si="10"/>
        <v>18432</v>
      </c>
      <c r="F98">
        <v>7.9769999999999994E-2</v>
      </c>
      <c r="G98">
        <v>1.9113309999999999</v>
      </c>
      <c r="H98">
        <f t="shared" si="13"/>
        <v>4.0063261481963999E-2</v>
      </c>
      <c r="I98">
        <f t="shared" si="11"/>
        <v>0.95993673851803607</v>
      </c>
      <c r="J98">
        <f>(1.2*0.000001*LOG(A98)+0.001*C98)/3</f>
        <v>8.533622322129171E-2</v>
      </c>
      <c r="K98">
        <f t="shared" si="15"/>
        <v>2.44140625E-3</v>
      </c>
    </row>
    <row r="99" spans="1:11" x14ac:dyDescent="0.3">
      <c r="J99" s="14"/>
    </row>
  </sheetData>
  <autoFilter ref="A1:N18" xr:uid="{A503E2A2-374F-4000-A39B-A25BFBD5D4D9}">
    <sortState xmlns:xlrd2="http://schemas.microsoft.com/office/spreadsheetml/2017/richdata2" ref="A2:N18">
      <sortCondition ref="A2:A18"/>
      <sortCondition ref="D2:D18"/>
    </sortState>
  </autoFilter>
  <sortState xmlns:xlrd2="http://schemas.microsoft.com/office/spreadsheetml/2017/richdata2" ref="A2:N18">
    <sortCondition ref="A2:A18"/>
    <sortCondition ref="D2:D18"/>
  </sortState>
  <mergeCells count="3">
    <mergeCell ref="A32:V32"/>
    <mergeCell ref="A56:U56"/>
    <mergeCell ref="A79:U79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7FC331-59A3-49C5-91AB-4A4CF86BC987}">
  <dimension ref="A1:O51"/>
  <sheetViews>
    <sheetView tabSelected="1" workbookViewId="0">
      <selection activeCell="M24" sqref="M24"/>
    </sheetView>
  </sheetViews>
  <sheetFormatPr defaultRowHeight="14.4" x14ac:dyDescent="0.3"/>
  <sheetData>
    <row r="1" spans="1:15" x14ac:dyDescent="0.3">
      <c r="N1" t="s">
        <v>42</v>
      </c>
    </row>
    <row r="2" spans="1:15" x14ac:dyDescent="0.3">
      <c r="A2" t="s">
        <v>0</v>
      </c>
      <c r="B2" t="s">
        <v>1</v>
      </c>
      <c r="C2" t="s">
        <v>2</v>
      </c>
      <c r="D2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9</v>
      </c>
      <c r="J2" s="2" t="s">
        <v>10</v>
      </c>
      <c r="K2" s="2" t="s">
        <v>11</v>
      </c>
      <c r="L2" s="3" t="s">
        <v>14</v>
      </c>
      <c r="M2" t="s">
        <v>45</v>
      </c>
      <c r="N2" t="s">
        <v>43</v>
      </c>
      <c r="O2" t="s">
        <v>44</v>
      </c>
    </row>
    <row r="3" spans="1:15" x14ac:dyDescent="0.3">
      <c r="A3">
        <f>'redundant RF2'!A2</f>
        <v>16384</v>
      </c>
      <c r="B3">
        <f>'redundant RF2'!B2</f>
        <v>4</v>
      </c>
      <c r="C3">
        <f>'redundant RF2'!C2</f>
        <v>1</v>
      </c>
      <c r="D3">
        <f>'redundant RF2'!D2</f>
        <v>16</v>
      </c>
      <c r="E3">
        <f>ROUND(non_redundnat!E2/'redundant RF2'!E2,2)</f>
        <v>1.01</v>
      </c>
      <c r="F3">
        <f>ROUND(non_redundnat!F2/'redundant RF2'!F2,2)</f>
        <v>0.86</v>
      </c>
      <c r="G3">
        <f>ROUND(non_redundnat!G2/'redundant RF2'!G2,2)</f>
        <v>0.55000000000000004</v>
      </c>
      <c r="H3">
        <f>ROUND(non_redundnat!H2/'redundant RF2'!H2,2)</f>
        <v>0.99</v>
      </c>
      <c r="I3">
        <f>ROUND(non_redundnat!J2/'redundant RF2'!J2,2)</f>
        <v>0.97</v>
      </c>
      <c r="J3">
        <f>'redundant RF2'!K2</f>
        <v>0.3</v>
      </c>
      <c r="K3">
        <f>'redundant RF2'!L2</f>
        <v>0.63</v>
      </c>
      <c r="L3">
        <f>ABS((1/('redundant RF2'!K2/'X redundant'!G3+'redundant RF2'!L2/'X redundant'!H3)) - F3) / F3</f>
        <v>1.6100178890876431E-2</v>
      </c>
      <c r="M3">
        <f t="shared" ref="M3:M19" si="0">POWER(G3,5)</f>
        <v>5.0328437500000017E-2</v>
      </c>
      <c r="N3" s="16">
        <f>non_redundnat!F3/'redundant RF2'!F2</f>
        <v>0.82681564245810057</v>
      </c>
      <c r="O3" s="14">
        <f>non_redundnat!J$3/'redundant RF2'!J2</f>
        <v>3.0919540229885056</v>
      </c>
    </row>
    <row r="4" spans="1:15" x14ac:dyDescent="0.3">
      <c r="A4">
        <f>'redundant RF2'!A3</f>
        <v>16384</v>
      </c>
      <c r="B4">
        <f>'redundant RF2'!B3</f>
        <v>4</v>
      </c>
      <c r="C4">
        <f>'redundant RF2'!C3</f>
        <v>0</v>
      </c>
      <c r="D4">
        <f>'redundant RF2'!D3</f>
        <v>64</v>
      </c>
      <c r="E4">
        <f>ROUND(non_redundnat!E3/'redundant RF2'!E3,2)</f>
        <v>0.99</v>
      </c>
      <c r="F4">
        <f>ROUND(non_redundnat!F3/'redundant RF2'!F3,2)</f>
        <v>0.61</v>
      </c>
      <c r="G4">
        <f>ROUND(non_redundnat!G3/'redundant RF2'!G3,2)</f>
        <v>0.47</v>
      </c>
      <c r="H4">
        <f>ROUND(non_redundnat!H3/'redundant RF2'!H3,2)</f>
        <v>1.01</v>
      </c>
      <c r="I4">
        <f>ROUND(non_redundnat!J3/'redundant RF2'!J3,2)</f>
        <v>0.89</v>
      </c>
      <c r="J4">
        <f>'redundant RF2'!K3</f>
        <v>0.73</v>
      </c>
      <c r="K4">
        <f>'redundant RF2'!L3</f>
        <v>0.22</v>
      </c>
      <c r="L4">
        <f>ABS((1/('redundant RF2'!K3/'X redundant'!G4+'redundant RF2'!L3/'X redundant'!H4)) - F4) / F4</f>
        <v>7.4346709514124684E-2</v>
      </c>
      <c r="M4">
        <f t="shared" si="0"/>
        <v>2.2934500699999995E-2</v>
      </c>
      <c r="N4" s="16">
        <f>non_redundnat!F3/'redundant RF2'!F3</f>
        <v>0.61229314420803782</v>
      </c>
      <c r="O4">
        <f>non_redundnat!J$3/'redundant RF2'!J3</f>
        <v>0.89220563847429513</v>
      </c>
    </row>
    <row r="5" spans="1:15" x14ac:dyDescent="0.3">
      <c r="A5">
        <f>'redundant RF2'!A4</f>
        <v>65536</v>
      </c>
      <c r="B5">
        <f>'redundant RF2'!B4</f>
        <v>5</v>
      </c>
      <c r="C5">
        <f>'redundant RF2'!C4</f>
        <v>1</v>
      </c>
      <c r="D5">
        <f>'redundant RF2'!D4</f>
        <v>16</v>
      </c>
      <c r="E5">
        <f>ROUND(non_redundnat!E4/'redundant RF2'!E4,2)</f>
        <v>1.02</v>
      </c>
      <c r="F5">
        <f>ROUND(non_redundnat!F4/'redundant RF2'!F4,2)</f>
        <v>0.97</v>
      </c>
      <c r="G5">
        <f>ROUND(non_redundnat!G4/'redundant RF2'!G4,2)</f>
        <v>0.86</v>
      </c>
      <c r="H5">
        <f>ROUND(non_redundnat!H4/'redundant RF2'!H4,2)</f>
        <v>1</v>
      </c>
      <c r="I5">
        <f>ROUND(non_redundnat!J4/'redundant RF2'!J4,2)</f>
        <v>1.08</v>
      </c>
      <c r="J5">
        <f>'redundant RF2'!K4</f>
        <v>0.2</v>
      </c>
      <c r="K5">
        <f>'redundant RF2'!L4</f>
        <v>0.76</v>
      </c>
      <c r="L5">
        <f>ABS((1/('redundant RF2'!K4/'X redundant'!G5+'redundant RF2'!L4/'X redundant'!H5)) - F5) / F5</f>
        <v>3.8657378332157946E-2</v>
      </c>
      <c r="M5">
        <f t="shared" si="0"/>
        <v>0.47042701759999989</v>
      </c>
      <c r="N5" s="17">
        <f>non_redundnat!F$5/'redundant RF2'!F4</f>
        <v>1.0616297060340383</v>
      </c>
      <c r="O5" s="14">
        <f>non_redundnat!J$5/'redundant RF2'!J4</f>
        <v>4.2495575221238937</v>
      </c>
    </row>
    <row r="6" spans="1:15" x14ac:dyDescent="0.3">
      <c r="A6">
        <f>'redundant RF2'!A5</f>
        <v>65536</v>
      </c>
      <c r="B6">
        <f>'redundant RF2'!B5</f>
        <v>5</v>
      </c>
      <c r="C6">
        <f>'redundant RF2'!C5</f>
        <v>0</v>
      </c>
      <c r="D6">
        <f>'redundant RF2'!D5</f>
        <v>64</v>
      </c>
      <c r="E6">
        <f>ROUND(non_redundnat!E5/'redundant RF2'!E5,2)</f>
        <v>1.1100000000000001</v>
      </c>
      <c r="F6">
        <f>ROUND(non_redundnat!F5/'redundant RF2'!F5,2)</f>
        <v>0.94</v>
      </c>
      <c r="G6">
        <f>ROUND(non_redundnat!G5/'redundant RF2'!G5,2)</f>
        <v>0.9</v>
      </c>
      <c r="H6">
        <f>ROUND(non_redundnat!H5/'redundant RF2'!H5,2)</f>
        <v>1</v>
      </c>
      <c r="I6">
        <f>ROUND(non_redundnat!J5/'redundant RF2'!J5,2)</f>
        <v>1.1599999999999999</v>
      </c>
      <c r="J6">
        <f>'redundant RF2'!K5</f>
        <v>0.63</v>
      </c>
      <c r="K6">
        <f>'redundant RF2'!L5</f>
        <v>0.34</v>
      </c>
      <c r="L6">
        <f>ABS((1/('redundant RF2'!K5/'X redundant'!G6+'redundant RF2'!L5/'X redundant'!H6)) - F6) / F6</f>
        <v>2.2913256955810115E-2</v>
      </c>
      <c r="M6">
        <f t="shared" si="0"/>
        <v>0.59049000000000018</v>
      </c>
      <c r="N6" s="16">
        <f>non_redundnat!F$5/'redundant RF2'!F5</f>
        <v>0.93632021833068002</v>
      </c>
      <c r="O6" s="14">
        <f>non_redundnat!J$5/'redundant RF2'!J5</f>
        <v>1.1615868408321239</v>
      </c>
    </row>
    <row r="7" spans="1:15" x14ac:dyDescent="0.3">
      <c r="A7">
        <f>'redundant RF2'!A6</f>
        <v>65536</v>
      </c>
      <c r="B7">
        <f>'redundant RF2'!B6</f>
        <v>5</v>
      </c>
      <c r="C7">
        <f>'redundant RF2'!C6</f>
        <v>-1</v>
      </c>
      <c r="D7">
        <f>'redundant RF2'!D6</f>
        <v>256</v>
      </c>
      <c r="E7">
        <f>ROUND(non_redundnat!E6/'redundant RF2'!E6,2)</f>
        <v>1.1399999999999999</v>
      </c>
      <c r="F7">
        <f>ROUND(non_redundnat!F6/'redundant RF2'!F6,2)</f>
        <v>0.64</v>
      </c>
      <c r="G7">
        <f>ROUND(non_redundnat!G6/'redundant RF2'!G6,2)</f>
        <v>0.61</v>
      </c>
      <c r="H7">
        <f>ROUND(non_redundnat!H6/'redundant RF2'!H6,2)</f>
        <v>0.96</v>
      </c>
      <c r="I7">
        <f>ROUND(non_redundnat!J6/'redundant RF2'!J6,2)</f>
        <v>1.17</v>
      </c>
      <c r="J7">
        <f>'redundant RF2'!K6</f>
        <v>0.91</v>
      </c>
      <c r="K7">
        <f>'redundant RF2'!L6</f>
        <v>0.08</v>
      </c>
      <c r="L7">
        <f>ABS((1/('redundant RF2'!K6/'X redundant'!G7+'redundant RF2'!L6/'X redundant'!H7)) - F7) / F7</f>
        <v>8.0225498699047076E-3</v>
      </c>
      <c r="M7">
        <f t="shared" si="0"/>
        <v>8.4459630099999988E-2</v>
      </c>
      <c r="N7" s="16">
        <f>non_redundnat!F$5/'redundant RF2'!F6</f>
        <v>0.2282150776053215</v>
      </c>
      <c r="O7">
        <f>non_redundnat!J$5/'redundant RF2'!J6</f>
        <v>0.28488372093023256</v>
      </c>
    </row>
    <row r="8" spans="1:15" x14ac:dyDescent="0.3">
      <c r="A8">
        <f>'redundant RF2'!A7</f>
        <v>262144</v>
      </c>
      <c r="B8">
        <f>'redundant RF2'!B7</f>
        <v>6</v>
      </c>
      <c r="C8">
        <f>'redundant RF2'!C7</f>
        <v>1</v>
      </c>
      <c r="D8">
        <f>'redundant RF2'!D7</f>
        <v>16</v>
      </c>
      <c r="E8">
        <f>ROUND(non_redundnat!E7/'redundant RF2'!E7,2)</f>
        <v>1.03</v>
      </c>
      <c r="F8" s="18">
        <f>ROUND(non_redundnat!F7/'redundant RF2'!F7,2)</f>
        <v>1</v>
      </c>
      <c r="G8" s="18">
        <f>ROUND(non_redundnat!G7/'redundant RF2'!G7,2)</f>
        <v>1.01</v>
      </c>
      <c r="H8">
        <f>ROUND(non_redundnat!H7/'redundant RF2'!H7,2)</f>
        <v>1</v>
      </c>
      <c r="I8">
        <f>ROUND(non_redundnat!J7/'redundant RF2'!J7,2)</f>
        <v>1.08</v>
      </c>
      <c r="J8">
        <f>'redundant RF2'!K7</f>
        <v>0.16</v>
      </c>
      <c r="K8">
        <f>'redundant RF2'!L7</f>
        <v>0.83</v>
      </c>
      <c r="L8">
        <f>ABS((1/('redundant RF2'!K7/'X redundant'!G8+'redundant RF2'!L7/'X redundant'!H8)) - F8) / F8</f>
        <v>1.1719923870580073E-2</v>
      </c>
      <c r="M8">
        <f t="shared" si="0"/>
        <v>1.0510100500999999</v>
      </c>
      <c r="N8" s="17">
        <f>non_redundnat!F$8/'redundant RF2'!F7</f>
        <v>1.1572993226689725</v>
      </c>
      <c r="O8" s="14">
        <f>non_redundnat!J$8/'redundant RF2'!J7</f>
        <v>4.748478701825559</v>
      </c>
    </row>
    <row r="9" spans="1:15" x14ac:dyDescent="0.3">
      <c r="A9">
        <f>'redundant RF2'!A8</f>
        <v>262144</v>
      </c>
      <c r="B9">
        <f>'redundant RF2'!B8</f>
        <v>6</v>
      </c>
      <c r="C9">
        <f>'redundant RF2'!C8</f>
        <v>0</v>
      </c>
      <c r="D9">
        <f>'redundant RF2'!D8</f>
        <v>64</v>
      </c>
      <c r="E9">
        <f>ROUND(non_redundnat!E8/'redundant RF2'!E8,2)</f>
        <v>1.2</v>
      </c>
      <c r="F9" s="18">
        <f>ROUND(non_redundnat!F8/'redundant RF2'!F8,2)</f>
        <v>1.1399999999999999</v>
      </c>
      <c r="G9" s="18">
        <f>ROUND(non_redundnat!G8/'redundant RF2'!G8,2)</f>
        <v>1.17</v>
      </c>
      <c r="H9">
        <f>ROUND(non_redundnat!H8/'redundant RF2'!H8,2)</f>
        <v>1.1100000000000001</v>
      </c>
      <c r="I9">
        <f>ROUND(non_redundnat!J8/'redundant RF2'!J8,2)</f>
        <v>1.26</v>
      </c>
      <c r="J9">
        <f>'redundant RF2'!K8</f>
        <v>0.57999999999999996</v>
      </c>
      <c r="K9">
        <f>'redundant RF2'!L8</f>
        <v>0.41</v>
      </c>
      <c r="L9">
        <f>ABS((1/('redundant RF2'!K8/'X redundant'!G9+'redundant RF2'!L8/'X redundant'!H9)) - F9) / F9</f>
        <v>1.3983557023399595E-2</v>
      </c>
      <c r="M9">
        <f t="shared" si="0"/>
        <v>2.1924480356999991</v>
      </c>
      <c r="N9" s="17">
        <f>non_redundnat!F$8/'redundant RF2'!F8</f>
        <v>1.1433758097814479</v>
      </c>
      <c r="O9" s="14">
        <f>non_redundnat!J$8/'redundant RF2'!J8</f>
        <v>1.2606354334948844</v>
      </c>
    </row>
    <row r="10" spans="1:15" x14ac:dyDescent="0.3">
      <c r="A10">
        <f>'redundant RF2'!A9</f>
        <v>262144</v>
      </c>
      <c r="B10">
        <f>'redundant RF2'!B9</f>
        <v>6</v>
      </c>
      <c r="C10">
        <f>'redundant RF2'!C9</f>
        <v>-1</v>
      </c>
      <c r="D10">
        <f>'redundant RF2'!D9</f>
        <v>256</v>
      </c>
      <c r="E10">
        <f>ROUND(non_redundnat!E9/'redundant RF2'!E9,2)</f>
        <v>1.1599999999999999</v>
      </c>
      <c r="F10">
        <f>ROUND(non_redundnat!F9/'redundant RF2'!F9,2)</f>
        <v>0.94</v>
      </c>
      <c r="G10">
        <f>ROUND(non_redundnat!G9/'redundant RF2'!G9,2)</f>
        <v>0.93</v>
      </c>
      <c r="H10">
        <f>ROUND(non_redundnat!H9/'redundant RF2'!H9,2)</f>
        <v>1.01</v>
      </c>
      <c r="I10">
        <f>ROUND(non_redundnat!J9/'redundant RF2'!J9,2)</f>
        <v>1.18</v>
      </c>
      <c r="J10">
        <f>'redundant RF2'!K9</f>
        <v>0.89</v>
      </c>
      <c r="K10">
        <f>'redundant RF2'!L9</f>
        <v>0.11</v>
      </c>
      <c r="L10">
        <f>ABS((1/('redundant RF2'!K9/'X redundant'!G10+'redundant RF2'!L9/'X redundant'!H10)) - F10) / F10</f>
        <v>1.9423500310264349E-3</v>
      </c>
      <c r="M10">
        <f t="shared" si="0"/>
        <v>0.69568836930000022</v>
      </c>
      <c r="N10" s="16">
        <f>non_redundnat!F$8/'redundant RF2'!F9</f>
        <v>0.38491587978718306</v>
      </c>
      <c r="O10">
        <f>non_redundnat!J$8/'redundant RF2'!J9</f>
        <v>0.32190862525353231</v>
      </c>
    </row>
    <row r="11" spans="1:15" x14ac:dyDescent="0.3">
      <c r="A11">
        <f>'redundant RF2'!A10</f>
        <v>1048576</v>
      </c>
      <c r="B11">
        <f>'redundant RF2'!B10</f>
        <v>7</v>
      </c>
      <c r="C11">
        <f>'redundant RF2'!C10</f>
        <v>1</v>
      </c>
      <c r="D11">
        <f>'redundant RF2'!D10</f>
        <v>16</v>
      </c>
      <c r="E11">
        <f>ROUND(non_redundnat!E10/'redundant RF2'!E10,2)</f>
        <v>1</v>
      </c>
      <c r="F11">
        <f>ROUND(non_redundnat!F10/'redundant RF2'!F10,2)</f>
        <v>0.98</v>
      </c>
      <c r="G11" s="18">
        <f>ROUND(non_redundnat!G10/'redundant RF2'!G10,2)</f>
        <v>1.01</v>
      </c>
      <c r="H11">
        <f>ROUND(non_redundnat!H10/'redundant RF2'!H10,2)</f>
        <v>0.97</v>
      </c>
      <c r="I11">
        <f>ROUND(non_redundnat!J10/'redundant RF2'!J10,2)</f>
        <v>1.08</v>
      </c>
      <c r="J11">
        <f>'redundant RF2'!K10</f>
        <v>0.15</v>
      </c>
      <c r="K11">
        <f>'redundant RF2'!L10</f>
        <v>0.85</v>
      </c>
      <c r="L11">
        <f>ABS((1/('redundant RF2'!K10/'X redundant'!G11+'redundant RF2'!L10/'X redundant'!H11)) - F11) / F11</f>
        <v>4.2889665826488649E-3</v>
      </c>
      <c r="M11">
        <f t="shared" si="0"/>
        <v>1.0510100500999999</v>
      </c>
      <c r="N11" s="16">
        <f>non_redundnat!F$11/'redundant RF2'!F10</f>
        <v>0.98814368514701478</v>
      </c>
      <c r="O11" s="14">
        <f>non_redundnat!J$11/'redundant RF2'!J10</f>
        <v>4.2096320899335726</v>
      </c>
    </row>
    <row r="12" spans="1:15" x14ac:dyDescent="0.3">
      <c r="A12">
        <f>'redundant RF2'!A11</f>
        <v>1048576</v>
      </c>
      <c r="B12">
        <f>'redundant RF2'!B11</f>
        <v>7</v>
      </c>
      <c r="C12">
        <f>'redundant RF2'!C11</f>
        <v>0</v>
      </c>
      <c r="D12">
        <f>'redundant RF2'!D11</f>
        <v>64</v>
      </c>
      <c r="E12">
        <f>ROUND(non_redundnat!E11/'redundant RF2'!E11,2)</f>
        <v>1.01</v>
      </c>
      <c r="F12">
        <f>ROUND(non_redundnat!F11/'redundant RF2'!F11,2)</f>
        <v>0.92</v>
      </c>
      <c r="G12">
        <f>ROUND(non_redundnat!G11/'redundant RF2'!G11,2)</f>
        <v>0.91</v>
      </c>
      <c r="H12">
        <f>ROUND(non_redundnat!H11/'redundant RF2'!H11,2)</f>
        <v>0.93</v>
      </c>
      <c r="I12">
        <f>ROUND(non_redundnat!J11/'redundant RF2'!J11,2)</f>
        <v>1.05</v>
      </c>
      <c r="J12">
        <f>'redundant RF2'!K11</f>
        <v>0.6</v>
      </c>
      <c r="K12">
        <f>'redundant RF2'!L11</f>
        <v>0.4</v>
      </c>
      <c r="L12">
        <f>ABS((1/('redundant RF2'!K11/'X redundant'!G12+'redundant RF2'!L11/'X redundant'!H12)) - F12) / F12</f>
        <v>2.2870885598415568E-3</v>
      </c>
      <c r="M12">
        <f t="shared" si="0"/>
        <v>0.62403214510000016</v>
      </c>
      <c r="N12" s="16">
        <f>non_redundnat!F$11/'redundant RF2'!F11</f>
        <v>0.91810845759743342</v>
      </c>
      <c r="O12" s="14">
        <f>non_redundnat!J$11/'redundant RF2'!J11</f>
        <v>1.04519791930982</v>
      </c>
    </row>
    <row r="13" spans="1:15" x14ac:dyDescent="0.3">
      <c r="A13">
        <f>'redundant RF2'!A12</f>
        <v>1048576</v>
      </c>
      <c r="B13">
        <f>'redundant RF2'!B12</f>
        <v>7</v>
      </c>
      <c r="C13">
        <f>'redundant RF2'!C12</f>
        <v>-1</v>
      </c>
      <c r="D13">
        <f>'redundant RF2'!D12</f>
        <v>256</v>
      </c>
      <c r="E13">
        <f>ROUND(non_redundnat!E12/'redundant RF2'!E12,2)</f>
        <v>1.1200000000000001</v>
      </c>
      <c r="F13" s="18">
        <f>ROUND(non_redundnat!F12/'redundant RF2'!F12,2)</f>
        <v>1.05</v>
      </c>
      <c r="G13" s="18">
        <f>ROUND(non_redundnat!G12/'redundant RF2'!G12,2)</f>
        <v>1.06</v>
      </c>
      <c r="H13">
        <f>ROUND(non_redundnat!H12/'redundant RF2'!H12,2)</f>
        <v>0.99</v>
      </c>
      <c r="I13">
        <f>ROUND(non_redundnat!J12/'redundant RF2'!J12,2)</f>
        <v>1.1299999999999999</v>
      </c>
      <c r="J13">
        <f>'redundant RF2'!K12</f>
        <v>0.88</v>
      </c>
      <c r="K13">
        <f>'redundant RF2'!L12</f>
        <v>0.12</v>
      </c>
      <c r="L13">
        <f>ABS((1/('redundant RF2'!K12/'X redundant'!G13+'redundant RF2'!L12/'X redundant'!H13)) - F13) / F13</f>
        <v>1.030219780219803E-3</v>
      </c>
      <c r="M13">
        <f t="shared" si="0"/>
        <v>1.3382255776000005</v>
      </c>
      <c r="N13" s="16">
        <f>non_redundnat!F$11/'redundant RF2'!F12</f>
        <v>0.39460539460539462</v>
      </c>
      <c r="O13">
        <f>non_redundnat!J$11/'redundant RF2'!J12</f>
        <v>0.28202560679196192</v>
      </c>
    </row>
    <row r="14" spans="1:15" x14ac:dyDescent="0.3">
      <c r="A14">
        <f>'redundant RF2'!A13</f>
        <v>4194304</v>
      </c>
      <c r="B14">
        <f>'redundant RF2'!B13</f>
        <v>8</v>
      </c>
      <c r="C14">
        <f>'redundant RF2'!C13</f>
        <v>1</v>
      </c>
      <c r="D14">
        <f>'redundant RF2'!D13</f>
        <v>16</v>
      </c>
      <c r="E14">
        <f>ROUND(non_redundnat!E13/'redundant RF2'!E13,2)</f>
        <v>1.03</v>
      </c>
      <c r="F14" s="18">
        <f>ROUND(non_redundnat!F13/'redundant RF2'!F13,2)</f>
        <v>1.01</v>
      </c>
      <c r="G14" s="18">
        <f>ROUND(non_redundnat!G13/'redundant RF2'!G13,2)</f>
        <v>1.08</v>
      </c>
      <c r="H14">
        <f>ROUND(non_redundnat!H13/'redundant RF2'!H13,2)</f>
        <v>1</v>
      </c>
      <c r="I14">
        <f>ROUND(non_redundnat!J13/'redundant RF2'!J13,2)</f>
        <v>1.1000000000000001</v>
      </c>
      <c r="J14">
        <f>'redundant RF2'!K13</f>
        <v>0.14000000000000001</v>
      </c>
      <c r="K14">
        <f>'redundant RF2'!L13</f>
        <v>0.86</v>
      </c>
      <c r="L14">
        <f>ABS((1/('redundant RF2'!K13/'X redundant'!G14+'redundant RF2'!L13/'X redundant'!H14)) - F14) / F14</f>
        <v>4.7429892689855851E-4</v>
      </c>
      <c r="M14">
        <f t="shared" si="0"/>
        <v>1.4693280768000003</v>
      </c>
      <c r="N14" s="17">
        <f>non_redundnat!F$14/'redundant RF2'!F13</f>
        <v>1.0437337599289829</v>
      </c>
      <c r="O14" s="14">
        <f>non_redundnat!J$14/'redundant RF2'!J13</f>
        <v>4.3640429338103752</v>
      </c>
    </row>
    <row r="15" spans="1:15" x14ac:dyDescent="0.3">
      <c r="A15">
        <f>'redundant RF2'!A14</f>
        <v>4194304</v>
      </c>
      <c r="B15">
        <f>'redundant RF2'!B14</f>
        <v>8</v>
      </c>
      <c r="C15">
        <f>'redundant RF2'!C14</f>
        <v>0</v>
      </c>
      <c r="D15">
        <f>'redundant RF2'!D14</f>
        <v>64</v>
      </c>
      <c r="E15">
        <f>ROUND(non_redundnat!E14/'redundant RF2'!E14,2)</f>
        <v>1.08</v>
      </c>
      <c r="F15" s="18">
        <f>ROUND(non_redundnat!F14/'redundant RF2'!F14,2)</f>
        <v>1.04</v>
      </c>
      <c r="G15" s="18">
        <f>ROUND(non_redundnat!G14/'redundant RF2'!G14,2)</f>
        <v>1.06</v>
      </c>
      <c r="H15">
        <f>ROUND(non_redundnat!H14/'redundant RF2'!H14,2)</f>
        <v>1.01</v>
      </c>
      <c r="I15">
        <f>ROUND(non_redundnat!J14/'redundant RF2'!J14,2)</f>
        <v>1.1000000000000001</v>
      </c>
      <c r="J15">
        <f>'redundant RF2'!K14</f>
        <v>0.56999999999999995</v>
      </c>
      <c r="K15">
        <f>'redundant RF2'!L14</f>
        <v>0.43</v>
      </c>
      <c r="L15">
        <f>ABS((1/('redundant RF2'!K14/'X redundant'!G15+'redundant RF2'!L14/'X redundant'!H15)) - F15) / F15</f>
        <v>2.0134978932845752E-3</v>
      </c>
      <c r="M15">
        <f t="shared" si="0"/>
        <v>1.3382255776000005</v>
      </c>
      <c r="N15" s="17">
        <f>non_redundnat!F$14/'redundant RF2'!F14</f>
        <v>1.0406304308743333</v>
      </c>
      <c r="O15" s="14">
        <f>non_redundnat!J$14/'redundant RF2'!J14</f>
        <v>1.1044662245436938</v>
      </c>
    </row>
    <row r="16" spans="1:15" x14ac:dyDescent="0.3">
      <c r="A16">
        <f>'redundant RF2'!A15</f>
        <v>4194304</v>
      </c>
      <c r="B16">
        <f>'redundant RF2'!B15</f>
        <v>8</v>
      </c>
      <c r="C16">
        <f>'redundant RF2'!C15</f>
        <v>-1</v>
      </c>
      <c r="D16">
        <f>'redundant RF2'!D15</f>
        <v>256</v>
      </c>
      <c r="E16">
        <f>ROUND(non_redundnat!E15/'redundant RF2'!E15,2)</f>
        <v>1.1200000000000001</v>
      </c>
      <c r="F16" s="18">
        <f>ROUND(non_redundnat!F15/'redundant RF2'!F15,2)</f>
        <v>1.1000000000000001</v>
      </c>
      <c r="G16" s="18">
        <f>ROUND(non_redundnat!G15/'redundant RF2'!G15,2)</f>
        <v>1.1100000000000001</v>
      </c>
      <c r="H16">
        <f>ROUND(non_redundnat!H15/'redundant RF2'!H15,2)</f>
        <v>1.04</v>
      </c>
      <c r="I16">
        <f>ROUND(non_redundnat!J15/'redundant RF2'!J15,2)</f>
        <v>1.1299999999999999</v>
      </c>
      <c r="J16">
        <f>'redundant RF2'!K15</f>
        <v>0.88</v>
      </c>
      <c r="K16">
        <f>'redundant RF2'!L15</f>
        <v>0.12</v>
      </c>
      <c r="L16">
        <f>ABS((1/('redundant RF2'!K15/'X redundant'!G16+'redundant RF2'!L15/'X redundant'!H16)) - F16) / F16</f>
        <v>1.0058617460373398E-3</v>
      </c>
      <c r="M16">
        <f t="shared" si="0"/>
        <v>1.6850581551000006</v>
      </c>
      <c r="N16" s="16">
        <f>non_redundnat!F$14/'redundant RF2'!F15</f>
        <v>0.41342587929345187</v>
      </c>
      <c r="O16">
        <f>non_redundnat!J$14/'redundant RF2'!J15</f>
        <v>0.28015243960792735</v>
      </c>
    </row>
    <row r="17" spans="1:15" x14ac:dyDescent="0.3">
      <c r="A17">
        <f>'redundant RF2'!A16</f>
        <v>16777216</v>
      </c>
      <c r="B17">
        <f>'redundant RF2'!B16</f>
        <v>9</v>
      </c>
      <c r="C17">
        <f>'redundant RF2'!C16</f>
        <v>1</v>
      </c>
      <c r="D17">
        <f>'redundant RF2'!D16</f>
        <v>16</v>
      </c>
      <c r="E17">
        <f>ROUND(non_redundnat!E16/'redundant RF2'!E16,2)</f>
        <v>1.02</v>
      </c>
      <c r="F17" s="18">
        <f>ROUND(non_redundnat!F16/'redundant RF2'!F16,2)</f>
        <v>1.01</v>
      </c>
      <c r="G17" s="18">
        <f>ROUND(non_redundnat!G16/'redundant RF2'!G16,2)</f>
        <v>1.0900000000000001</v>
      </c>
      <c r="H17">
        <f>ROUND(non_redundnat!H16/'redundant RF2'!H16,2)</f>
        <v>1</v>
      </c>
      <c r="I17">
        <f>ROUND(non_redundnat!J16/'redundant RF2'!J16,2)</f>
        <v>1.0900000000000001</v>
      </c>
      <c r="J17">
        <f>'redundant RF2'!K16</f>
        <v>0.14000000000000001</v>
      </c>
      <c r="K17">
        <f>'redundant RF2'!L16</f>
        <v>0.86</v>
      </c>
      <c r="L17">
        <f>ABS((1/('redundant RF2'!K16/'X redundant'!G17+'redundant RF2'!L16/'X redundant'!H17)) - F17) / F17</f>
        <v>1.6780404604411648E-3</v>
      </c>
      <c r="M17">
        <f t="shared" si="0"/>
        <v>1.5386239549000005</v>
      </c>
      <c r="N17" s="17">
        <f>non_redundnat!F$17/'redundant RF2'!F16</f>
        <v>1.0398463687150838</v>
      </c>
      <c r="O17" s="14">
        <f>non_redundnat!J$17/'redundant RF2'!J16</f>
        <v>4.3601308542796806</v>
      </c>
    </row>
    <row r="18" spans="1:15" x14ac:dyDescent="0.3">
      <c r="A18">
        <f>'redundant RF2'!A17</f>
        <v>16777216</v>
      </c>
      <c r="B18">
        <f>'redundant RF2'!B17</f>
        <v>9</v>
      </c>
      <c r="C18">
        <f>'redundant RF2'!C17</f>
        <v>0</v>
      </c>
      <c r="D18">
        <f>'redundant RF2'!D17</f>
        <v>64</v>
      </c>
      <c r="E18">
        <f>ROUND(non_redundnat!E17/'redundant RF2'!E17,2)</f>
        <v>1.07</v>
      </c>
      <c r="F18" s="18">
        <f>ROUND(non_redundnat!F17/'redundant RF2'!F17,2)</f>
        <v>1.05</v>
      </c>
      <c r="G18" s="18">
        <f>ROUND(non_redundnat!G17/'redundant RF2'!G17,2)</f>
        <v>1.0900000000000001</v>
      </c>
      <c r="H18">
        <f>ROUND(non_redundnat!H17/'redundant RF2'!H17,2)</f>
        <v>0.99</v>
      </c>
      <c r="I18">
        <f>ROUND(non_redundnat!J17/'redundant RF2'!J17,2)</f>
        <v>1.1000000000000001</v>
      </c>
      <c r="J18">
        <f>'redundant RF2'!K17</f>
        <v>0.56999999999999995</v>
      </c>
      <c r="K18">
        <f>'redundant RF2'!L17</f>
        <v>0.43</v>
      </c>
      <c r="L18">
        <f>ABS((1/('redundant RF2'!K17/'X redundant'!G18+'redundant RF2'!L17/'X redundant'!H18)) - F18) / F18</f>
        <v>5.116857972617855E-3</v>
      </c>
      <c r="M18">
        <f t="shared" si="0"/>
        <v>1.5386239549000005</v>
      </c>
      <c r="N18" s="17">
        <f>non_redundnat!F$17/'redundant RF2'!F17</f>
        <v>1.0480999115474043</v>
      </c>
      <c r="O18" s="14">
        <f>non_redundnat!J$17/'redundant RF2'!J17</f>
        <v>1.1002428432302749</v>
      </c>
    </row>
    <row r="19" spans="1:15" x14ac:dyDescent="0.3">
      <c r="A19">
        <f>'redundant RF2'!A18</f>
        <v>16777216</v>
      </c>
      <c r="B19">
        <f>'redundant RF2'!B18</f>
        <v>9</v>
      </c>
      <c r="C19">
        <f>'redundant RF2'!C18</f>
        <v>-1</v>
      </c>
      <c r="D19">
        <f>'redundant RF2'!D18</f>
        <v>256</v>
      </c>
      <c r="E19">
        <f>ROUND(non_redundnat!E18/'redundant RF2'!E18,2)</f>
        <v>1.1100000000000001</v>
      </c>
      <c r="F19" s="18">
        <f>ROUND(non_redundnat!F18/'redundant RF2'!F18,2)</f>
        <v>1.06</v>
      </c>
      <c r="G19" s="18">
        <f>ROUND(non_redundnat!G18/'redundant RF2'!G18,2)</f>
        <v>1.07</v>
      </c>
      <c r="H19">
        <f>ROUND(non_redundnat!H18/'redundant RF2'!H18,2)</f>
        <v>1</v>
      </c>
      <c r="I19">
        <f>ROUND(non_redundnat!J18/'redundant RF2'!J18,2)</f>
        <v>1.1200000000000001</v>
      </c>
      <c r="J19">
        <f>'redundant RF2'!K18</f>
        <v>0.88</v>
      </c>
      <c r="K19">
        <f>'redundant RF2'!L18</f>
        <v>0.12</v>
      </c>
      <c r="L19">
        <f>ABS((1/('redundant RF2'!K18/'X redundant'!G19+'redundant RF2'!L18/'X redundant'!H19)) - F19) / F19</f>
        <v>1.0253493297808162E-3</v>
      </c>
      <c r="M19">
        <f t="shared" si="0"/>
        <v>1.4025517307000002</v>
      </c>
      <c r="N19" s="16">
        <f>non_redundnat!F$17/'redundant RF2'!F18</f>
        <v>0.39422619129039671</v>
      </c>
      <c r="O19">
        <f>non_redundnat!J$17/'redundant RF2'!J18</f>
        <v>0.27544365680251098</v>
      </c>
    </row>
    <row r="21" spans="1:15" x14ac:dyDescent="0.3">
      <c r="K21" t="s">
        <v>40</v>
      </c>
      <c r="L21">
        <f>AVERAGE(L3:L19)*100</f>
        <v>1.2153299161155917</v>
      </c>
      <c r="N21" t="s">
        <v>46</v>
      </c>
    </row>
    <row r="22" spans="1:15" x14ac:dyDescent="0.3">
      <c r="N22" t="s">
        <v>47</v>
      </c>
    </row>
    <row r="23" spans="1:15" x14ac:dyDescent="0.3">
      <c r="N23" t="s">
        <v>48</v>
      </c>
    </row>
    <row r="34" spans="1:12" x14ac:dyDescent="0.3">
      <c r="A34" t="s">
        <v>0</v>
      </c>
      <c r="B34" t="s">
        <v>1</v>
      </c>
      <c r="C34" t="s">
        <v>2</v>
      </c>
      <c r="D34" t="s">
        <v>3</v>
      </c>
      <c r="E34" t="s">
        <v>41</v>
      </c>
      <c r="F34" t="s">
        <v>4</v>
      </c>
      <c r="G34" t="s">
        <v>5</v>
      </c>
      <c r="H34" t="s">
        <v>6</v>
      </c>
      <c r="I34" t="s">
        <v>7</v>
      </c>
      <c r="J34" t="s">
        <v>9</v>
      </c>
      <c r="K34" t="s">
        <v>10</v>
      </c>
      <c r="L34" t="s">
        <v>11</v>
      </c>
    </row>
    <row r="35" spans="1:12" x14ac:dyDescent="0.3">
      <c r="A35">
        <v>1048576</v>
      </c>
      <c r="B35">
        <v>7</v>
      </c>
      <c r="C35">
        <v>1</v>
      </c>
      <c r="D35">
        <v>16</v>
      </c>
      <c r="E35">
        <v>4</v>
      </c>
      <c r="F35">
        <v>1</v>
      </c>
      <c r="G35">
        <v>0.98</v>
      </c>
      <c r="H35">
        <v>1.01</v>
      </c>
      <c r="I35">
        <v>0.97</v>
      </c>
      <c r="J35">
        <v>1.08</v>
      </c>
      <c r="K35">
        <v>0.15</v>
      </c>
      <c r="L35">
        <v>0.85</v>
      </c>
    </row>
    <row r="36" spans="1:12" x14ac:dyDescent="0.3">
      <c r="A36">
        <v>16384</v>
      </c>
      <c r="B36">
        <v>4</v>
      </c>
      <c r="C36">
        <v>1</v>
      </c>
      <c r="D36">
        <v>16</v>
      </c>
      <c r="E36">
        <v>4</v>
      </c>
      <c r="F36">
        <v>1.01</v>
      </c>
      <c r="G36">
        <v>0.86</v>
      </c>
      <c r="H36">
        <v>0.55000000000000004</v>
      </c>
      <c r="I36">
        <v>0.99</v>
      </c>
      <c r="J36">
        <v>0.97</v>
      </c>
      <c r="K36">
        <v>0.3</v>
      </c>
      <c r="L36">
        <v>0.63</v>
      </c>
    </row>
    <row r="37" spans="1:12" x14ac:dyDescent="0.3">
      <c r="A37">
        <v>65536</v>
      </c>
      <c r="B37">
        <v>5</v>
      </c>
      <c r="C37">
        <v>1</v>
      </c>
      <c r="D37">
        <v>16</v>
      </c>
      <c r="E37">
        <v>4</v>
      </c>
      <c r="F37">
        <v>1.02</v>
      </c>
      <c r="G37">
        <v>0.97</v>
      </c>
      <c r="H37">
        <v>0.86</v>
      </c>
      <c r="I37">
        <v>1</v>
      </c>
      <c r="J37">
        <v>1.08</v>
      </c>
      <c r="K37">
        <v>0.2</v>
      </c>
      <c r="L37">
        <v>0.76</v>
      </c>
    </row>
    <row r="38" spans="1:12" x14ac:dyDescent="0.3">
      <c r="A38">
        <v>16777216</v>
      </c>
      <c r="B38">
        <v>9</v>
      </c>
      <c r="C38">
        <v>1</v>
      </c>
      <c r="D38">
        <v>16</v>
      </c>
      <c r="E38">
        <v>4</v>
      </c>
      <c r="F38">
        <v>1.02</v>
      </c>
      <c r="G38">
        <v>1.01</v>
      </c>
      <c r="H38">
        <v>1.0900000000000001</v>
      </c>
      <c r="I38">
        <v>1</v>
      </c>
      <c r="J38">
        <v>1.0900000000000001</v>
      </c>
      <c r="K38">
        <v>0.14000000000000001</v>
      </c>
      <c r="L38">
        <v>0.86</v>
      </c>
    </row>
    <row r="39" spans="1:12" x14ac:dyDescent="0.3">
      <c r="A39">
        <v>262144</v>
      </c>
      <c r="B39">
        <v>6</v>
      </c>
      <c r="C39">
        <v>1</v>
      </c>
      <c r="D39">
        <v>16</v>
      </c>
      <c r="E39">
        <v>4</v>
      </c>
      <c r="F39">
        <v>1.03</v>
      </c>
      <c r="G39">
        <v>1</v>
      </c>
      <c r="H39">
        <v>1.01</v>
      </c>
      <c r="I39">
        <v>1</v>
      </c>
      <c r="J39">
        <v>1.08</v>
      </c>
      <c r="K39">
        <v>0.16</v>
      </c>
      <c r="L39">
        <v>0.83</v>
      </c>
    </row>
    <row r="40" spans="1:12" x14ac:dyDescent="0.3">
      <c r="A40">
        <v>4194304</v>
      </c>
      <c r="B40">
        <v>8</v>
      </c>
      <c r="C40">
        <v>1</v>
      </c>
      <c r="D40">
        <v>16</v>
      </c>
      <c r="E40">
        <v>4</v>
      </c>
      <c r="F40">
        <v>1.03</v>
      </c>
      <c r="G40">
        <v>1.01</v>
      </c>
      <c r="H40">
        <v>1.08</v>
      </c>
      <c r="I40">
        <v>1</v>
      </c>
      <c r="J40">
        <v>1.1000000000000001</v>
      </c>
      <c r="K40">
        <v>0.14000000000000001</v>
      </c>
      <c r="L40">
        <v>0.86</v>
      </c>
    </row>
    <row r="41" spans="1:12" x14ac:dyDescent="0.3">
      <c r="A41">
        <v>16384</v>
      </c>
      <c r="B41">
        <v>4</v>
      </c>
      <c r="C41">
        <v>0</v>
      </c>
      <c r="D41">
        <v>64</v>
      </c>
      <c r="E41">
        <v>8</v>
      </c>
      <c r="F41">
        <v>0.99</v>
      </c>
      <c r="G41">
        <v>0.61</v>
      </c>
      <c r="H41">
        <v>0.47</v>
      </c>
      <c r="I41">
        <v>1.01</v>
      </c>
      <c r="J41">
        <v>0.89</v>
      </c>
      <c r="K41">
        <v>0.73</v>
      </c>
      <c r="L41">
        <v>0.22</v>
      </c>
    </row>
    <row r="42" spans="1:12" x14ac:dyDescent="0.3">
      <c r="A42">
        <v>1048576</v>
      </c>
      <c r="B42">
        <v>7</v>
      </c>
      <c r="C42">
        <v>0</v>
      </c>
      <c r="D42">
        <v>64</v>
      </c>
      <c r="E42">
        <v>8</v>
      </c>
      <c r="F42">
        <v>1.01</v>
      </c>
      <c r="G42">
        <v>0.92</v>
      </c>
      <c r="H42">
        <v>0.91</v>
      </c>
      <c r="I42">
        <v>0.93</v>
      </c>
      <c r="J42">
        <v>1.05</v>
      </c>
      <c r="K42">
        <v>0.6</v>
      </c>
      <c r="L42">
        <v>0.4</v>
      </c>
    </row>
    <row r="43" spans="1:12" x14ac:dyDescent="0.3">
      <c r="A43">
        <v>16777216</v>
      </c>
      <c r="B43">
        <v>9</v>
      </c>
      <c r="C43">
        <v>0</v>
      </c>
      <c r="D43">
        <v>64</v>
      </c>
      <c r="E43">
        <v>8</v>
      </c>
      <c r="F43">
        <v>1.07</v>
      </c>
      <c r="G43">
        <v>1.05</v>
      </c>
      <c r="H43">
        <v>1.0900000000000001</v>
      </c>
      <c r="I43">
        <v>0.99</v>
      </c>
      <c r="J43">
        <v>1.1000000000000001</v>
      </c>
      <c r="K43">
        <v>0.56999999999999995</v>
      </c>
      <c r="L43">
        <v>0.43</v>
      </c>
    </row>
    <row r="44" spans="1:12" x14ac:dyDescent="0.3">
      <c r="A44">
        <v>4194304</v>
      </c>
      <c r="B44">
        <v>8</v>
      </c>
      <c r="C44">
        <v>0</v>
      </c>
      <c r="D44">
        <v>64</v>
      </c>
      <c r="E44">
        <v>8</v>
      </c>
      <c r="F44">
        <v>1.08</v>
      </c>
      <c r="G44">
        <v>1.04</v>
      </c>
      <c r="H44">
        <v>1.06</v>
      </c>
      <c r="I44">
        <v>1.01</v>
      </c>
      <c r="J44">
        <v>1.1000000000000001</v>
      </c>
      <c r="K44">
        <v>0.56999999999999995</v>
      </c>
      <c r="L44">
        <v>0.43</v>
      </c>
    </row>
    <row r="45" spans="1:12" x14ac:dyDescent="0.3">
      <c r="A45">
        <v>65536</v>
      </c>
      <c r="B45">
        <v>5</v>
      </c>
      <c r="C45">
        <v>0</v>
      </c>
      <c r="D45">
        <v>64</v>
      </c>
      <c r="E45">
        <v>8</v>
      </c>
      <c r="F45">
        <v>1.1100000000000001</v>
      </c>
      <c r="G45">
        <v>0.94</v>
      </c>
      <c r="H45">
        <v>0.9</v>
      </c>
      <c r="I45">
        <v>1</v>
      </c>
      <c r="J45">
        <v>1.1599999999999999</v>
      </c>
      <c r="K45">
        <v>0.63</v>
      </c>
      <c r="L45">
        <v>0.34</v>
      </c>
    </row>
    <row r="46" spans="1:12" x14ac:dyDescent="0.3">
      <c r="A46">
        <v>262144</v>
      </c>
      <c r="B46">
        <v>6</v>
      </c>
      <c r="C46">
        <v>0</v>
      </c>
      <c r="D46">
        <v>64</v>
      </c>
      <c r="E46">
        <v>8</v>
      </c>
      <c r="F46">
        <v>1.2</v>
      </c>
      <c r="G46">
        <v>1.1399999999999999</v>
      </c>
      <c r="H46">
        <v>1.17</v>
      </c>
      <c r="I46">
        <v>1.1100000000000001</v>
      </c>
      <c r="J46">
        <v>1.26</v>
      </c>
      <c r="K46">
        <v>0.57999999999999996</v>
      </c>
      <c r="L46">
        <v>0.41</v>
      </c>
    </row>
    <row r="47" spans="1:12" x14ac:dyDescent="0.3">
      <c r="A47">
        <v>16777216</v>
      </c>
      <c r="B47">
        <v>9</v>
      </c>
      <c r="C47">
        <v>-1</v>
      </c>
      <c r="D47">
        <v>256</v>
      </c>
      <c r="E47">
        <v>16</v>
      </c>
      <c r="F47">
        <v>1.1100000000000001</v>
      </c>
      <c r="G47">
        <v>1.06</v>
      </c>
      <c r="H47">
        <v>1.07</v>
      </c>
      <c r="I47">
        <v>1</v>
      </c>
      <c r="J47">
        <v>1.1200000000000001</v>
      </c>
      <c r="K47">
        <v>0.88</v>
      </c>
      <c r="L47">
        <v>0.12</v>
      </c>
    </row>
    <row r="48" spans="1:12" x14ac:dyDescent="0.3">
      <c r="A48">
        <v>1048576</v>
      </c>
      <c r="B48">
        <v>7</v>
      </c>
      <c r="C48">
        <v>-1</v>
      </c>
      <c r="D48">
        <v>256</v>
      </c>
      <c r="E48">
        <v>16</v>
      </c>
      <c r="F48">
        <v>1.1200000000000001</v>
      </c>
      <c r="G48">
        <v>1.05</v>
      </c>
      <c r="H48">
        <v>1.06</v>
      </c>
      <c r="I48">
        <v>0.99</v>
      </c>
      <c r="J48">
        <v>1.1299999999999999</v>
      </c>
      <c r="K48">
        <v>0.88</v>
      </c>
      <c r="L48">
        <v>0.12</v>
      </c>
    </row>
    <row r="49" spans="1:12" x14ac:dyDescent="0.3">
      <c r="A49">
        <v>4194304</v>
      </c>
      <c r="B49">
        <v>8</v>
      </c>
      <c r="C49">
        <v>-1</v>
      </c>
      <c r="D49">
        <v>256</v>
      </c>
      <c r="E49">
        <v>16</v>
      </c>
      <c r="F49">
        <v>1.1200000000000001</v>
      </c>
      <c r="G49">
        <v>1.1000000000000001</v>
      </c>
      <c r="H49">
        <v>1.1100000000000001</v>
      </c>
      <c r="I49">
        <v>1.04</v>
      </c>
      <c r="J49">
        <v>1.1299999999999999</v>
      </c>
      <c r="K49">
        <v>0.88</v>
      </c>
      <c r="L49">
        <v>0.12</v>
      </c>
    </row>
    <row r="50" spans="1:12" x14ac:dyDescent="0.3">
      <c r="A50">
        <v>65536</v>
      </c>
      <c r="B50">
        <v>5</v>
      </c>
      <c r="C50">
        <v>-1</v>
      </c>
      <c r="D50">
        <v>256</v>
      </c>
      <c r="E50">
        <v>16</v>
      </c>
      <c r="F50">
        <v>1.1399999999999999</v>
      </c>
      <c r="G50">
        <v>0.64</v>
      </c>
      <c r="H50">
        <v>0.61</v>
      </c>
      <c r="I50">
        <v>0.96</v>
      </c>
      <c r="J50">
        <v>1.17</v>
      </c>
      <c r="K50">
        <v>0.91</v>
      </c>
      <c r="L50">
        <v>0.08</v>
      </c>
    </row>
    <row r="51" spans="1:12" x14ac:dyDescent="0.3">
      <c r="A51">
        <v>262144</v>
      </c>
      <c r="B51">
        <v>6</v>
      </c>
      <c r="C51">
        <v>-1</v>
      </c>
      <c r="D51">
        <v>256</v>
      </c>
      <c r="E51">
        <v>16</v>
      </c>
      <c r="F51">
        <v>1.1599999999999999</v>
      </c>
      <c r="G51">
        <v>0.94</v>
      </c>
      <c r="H51">
        <v>0.93</v>
      </c>
      <c r="I51">
        <v>1.01</v>
      </c>
      <c r="J51">
        <v>1.18</v>
      </c>
      <c r="K51">
        <v>0.89</v>
      </c>
      <c r="L51">
        <v>0.11</v>
      </c>
    </row>
  </sheetData>
  <autoFilter ref="A34:K51" xr:uid="{557FC331-59A3-49C5-91AB-4A4CF86BC987}">
    <sortState xmlns:xlrd2="http://schemas.microsoft.com/office/spreadsheetml/2017/richdata2" ref="A35:K51">
      <sortCondition ref="D34:D51"/>
    </sortState>
  </autoFilter>
  <pageMargins left="0.7" right="0.7" top="0.75" bottom="0.75" header="0.3" footer="0.3"/>
  <pageSetup paperSize="0" orientation="portrait" horizontalDpi="0" verticalDpi="0" copie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non_redundnat</vt:lpstr>
      <vt:lpstr>X level inc</vt:lpstr>
      <vt:lpstr>redundant RF2</vt:lpstr>
      <vt:lpstr>X redundant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morteza sadeghi</dc:creator>
  <cp:lastModifiedBy>morteza sadeghi</cp:lastModifiedBy>
  <dcterms:created xsi:type="dcterms:W3CDTF">2025-03-03T08:49:05Z</dcterms:created>
  <dcterms:modified xsi:type="dcterms:W3CDTF">2025-09-14T11:58:27Z</dcterms:modified>
</cp:coreProperties>
</file>